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e39137b4a8901632/Desktop/7 Projects/My Projects/"/>
    </mc:Choice>
  </mc:AlternateContent>
  <xr:revisionPtr revIDLastSave="7" documentId="8_{F3C5AF3A-590C-4D53-9327-04BB4CFBD9A9}" xr6:coauthVersionLast="47" xr6:coauthVersionMax="47" xr10:uidLastSave="{B45028EC-50F8-4C41-A922-1A14DD67B919}"/>
  <bookViews>
    <workbookView xWindow="-108" yWindow="-108" windowWidth="23256" windowHeight="12456" activeTab="1" xr2:uid="{03286E6A-076E-43E9-B961-152DA6D247DD}"/>
  </bookViews>
  <sheets>
    <sheet name="HospitalData" sheetId="2" r:id="rId1"/>
    <sheet name="Dashboard" sheetId="1" r:id="rId2"/>
    <sheet name="Sheet2" sheetId="3" r:id="rId3"/>
    <sheet name="Sheet1" sheetId="4" r:id="rId4"/>
  </sheets>
  <definedNames>
    <definedName name="_xlnm._FilterDatabase" localSheetId="3" hidden="1">Sheet1!$A$1:$B$206</definedName>
    <definedName name="ExternalData_1" localSheetId="0" hidden="1">HospitalData!$A$1:$H$101</definedName>
    <definedName name="Slicer_Department">#N/A</definedName>
    <definedName name="Slicer_Hospital_Name">#N/A</definedName>
    <definedName name="Slicer_Location">#N/A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6" i="1" l="1"/>
  <c r="O6" i="1"/>
  <c r="K6" i="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G6" i="1"/>
  <c r="C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096C7A-144E-4813-9504-4216D148656C}" keepAlive="1" name="Query - HospitalData" description="Connection to the 'HospitalData' query in the workbook." type="5" refreshedVersion="8" background="1" saveData="1">
    <dbPr connection="Provider=Microsoft.Mashup.OleDb.1;Data Source=$Workbook$;Location=HospitalData;Extended Properties=&quot;&quot;" command="SELECT * FROM [HospitalData]"/>
  </connection>
</connections>
</file>

<file path=xl/sharedStrings.xml><?xml version="1.0" encoding="utf-8"?>
<sst xmlns="http://schemas.openxmlformats.org/spreadsheetml/2006/main" count="498" uniqueCount="158">
  <si>
    <t>Hospital Name</t>
  </si>
  <si>
    <t>Location</t>
  </si>
  <si>
    <t>Department</t>
  </si>
  <si>
    <t>Doctors Count</t>
  </si>
  <si>
    <t>Patients Count</t>
  </si>
  <si>
    <t>Admission Date</t>
  </si>
  <si>
    <t>Discharge Date</t>
  </si>
  <si>
    <t xml:space="preserve"> Medical Expenses </t>
  </si>
  <si>
    <t>Wellness Clinic</t>
  </si>
  <si>
    <t>Chennai</t>
  </si>
  <si>
    <t>Orthopedics</t>
  </si>
  <si>
    <t>Fortis Care</t>
  </si>
  <si>
    <t>Pune</t>
  </si>
  <si>
    <t>ENT</t>
  </si>
  <si>
    <t>Ahmedabad</t>
  </si>
  <si>
    <t>Pediatrics</t>
  </si>
  <si>
    <t>Heritage Hospital</t>
  </si>
  <si>
    <t>Hyderabad</t>
  </si>
  <si>
    <t>Urology</t>
  </si>
  <si>
    <t>City Hospital</t>
  </si>
  <si>
    <t>Kolkata</t>
  </si>
  <si>
    <t>Gynecology</t>
  </si>
  <si>
    <t>Oncology</t>
  </si>
  <si>
    <t>Global Medicare</t>
  </si>
  <si>
    <t>Apollo Health</t>
  </si>
  <si>
    <t>Jaipur</t>
  </si>
  <si>
    <t>General Medicine</t>
  </si>
  <si>
    <t>Green Valley Hospital</t>
  </si>
  <si>
    <t>Healing Touch</t>
  </si>
  <si>
    <t>Mumbai</t>
  </si>
  <si>
    <t>Dermatology</t>
  </si>
  <si>
    <t>Lucknow</t>
  </si>
  <si>
    <t>Cardiology</t>
  </si>
  <si>
    <t>Sunrise Medical</t>
  </si>
  <si>
    <t>Neurology</t>
  </si>
  <si>
    <t>Delhi</t>
  </si>
  <si>
    <t>Metro Hospital</t>
  </si>
  <si>
    <t>Bangalore</t>
  </si>
  <si>
    <t>Total Patients</t>
  </si>
  <si>
    <t>Total Medical Expenses</t>
  </si>
  <si>
    <t>Average Stay Days</t>
  </si>
  <si>
    <t>No of Days stayed</t>
  </si>
  <si>
    <t>Total Doctors</t>
  </si>
  <si>
    <t>Number of Departments</t>
  </si>
  <si>
    <t>Row Labels</t>
  </si>
  <si>
    <t>Grand Total</t>
  </si>
  <si>
    <t>Sum of Patients Count</t>
  </si>
  <si>
    <t xml:space="preserve">Sum of  Medical Expenses </t>
  </si>
  <si>
    <t>That’s a good move. Reusing the same dataset across tools makes your portfolio look intentional and analytical rather than random.</t>
  </si>
  <si>
    <t>For the Excel project, create a separate repository:</t>
  </si>
  <si>
    <t>Hospital-Analysis-Excel</t>
  </si>
  <si>
    <t>Your goal in Microsoft Excel is not heavy querying like SQL.</t>
  </si>
  <si>
    <t>It’s:</t>
  </si>
  <si>
    <t>dashboarding</t>
  </si>
  <si>
    <t>summarizing</t>
  </si>
  <si>
    <t>KPI reporting</t>
  </si>
  <si>
    <t>interactive analysis</t>
  </si>
  <si>
    <t>Your Excel project should feel like a business reporting dashboard.</t>
  </si>
  <si>
    <t>What You Should Build</t>
  </si>
  <si>
    <t>Main Dashboard Page</t>
  </si>
  <si>
    <t>Create one clean dashboard sheet.</t>
  </si>
  <si>
    <t>KPI Cards at Top</t>
  </si>
  <si>
    <t>Show:</t>
  </si>
  <si>
    <t>Use large bold numbers with shapes/colors.</t>
  </si>
  <si>
    <t>Chart</t>
  </si>
  <si>
    <t>Analysis</t>
  </si>
  <si>
    <t>Bar Chart</t>
  </si>
  <si>
    <t>Patients by Department</t>
  </si>
  <si>
    <t>Column Chart</t>
  </si>
  <si>
    <t>Expenses by Hospital</t>
  </si>
  <si>
    <t>Line Chart</t>
  </si>
  <si>
    <t>Monthly Expense Trend</t>
  </si>
  <si>
    <t>Pie/Donut</t>
  </si>
  <si>
    <t>Department-wise Patients</t>
  </si>
  <si>
    <t>Heatmap</t>
  </si>
  <si>
    <t>Expenses by City</t>
  </si>
  <si>
    <t>Stacked Bar</t>
  </si>
  <si>
    <t>Doctors vs Patients</t>
  </si>
  <si>
    <t>Pivot Tables You Should Create</t>
  </si>
  <si>
    <t>Pivot 1</t>
  </si>
  <si>
    <t>Rows:</t>
  </si>
  <si>
    <t>Values:</t>
  </si>
  <si>
    <t>Pivot 2</t>
  </si>
  <si>
    <t>Sum of Medical Expenses</t>
  </si>
  <si>
    <t>Pivot 3</t>
  </si>
  <si>
    <t>Month</t>
  </si>
  <si>
    <t>Important Excel Features to Use</t>
  </si>
  <si>
    <t>You should include:</t>
  </si>
  <si>
    <t>Pivot Tables</t>
  </si>
  <si>
    <t>Pivot Charts</t>
  </si>
  <si>
    <t>Slicers</t>
  </si>
  <si>
    <t>Conditional Formatting</t>
  </si>
  <si>
    <t>Basic formulas</t>
  </si>
  <si>
    <t>Dashboard formatting</t>
  </si>
  <si>
    <t>That already becomes interview-worthy.</t>
  </si>
  <si>
    <t>Best Slicers</t>
  </si>
  <si>
    <t>Add slicers for:</t>
  </si>
  <si>
    <t>This makes dashboard interactive.</t>
  </si>
  <si>
    <t>Best Business Questions for Excel</t>
  </si>
  <si>
    <t>Use these in README/screenshots:</t>
  </si>
  <si>
    <t>1. Which department handles most patients?</t>
  </si>
  <si>
    <t>2. Which city has highest medical expenses?</t>
  </si>
  <si>
    <t>3. What is the monthly expense trend?</t>
  </si>
  <si>
    <t>4. Which hospital has highest patient load?</t>
  </si>
  <si>
    <t>5. Average patient stay duration by department?</t>
  </si>
  <si>
    <t>Recommended Repository Structure</t>
  </si>
  <si>
    <t>│</t>
  </si>
  <si>
    <t>├── Dataset</t>
  </si>
  <si>
    <t>│   └── HospitalData.csv</t>
  </si>
  <si>
    <t>├── Excel Dashboard</t>
  </si>
  <si>
    <t>│   └── Hospital_Dashboard.xlsx</t>
  </si>
  <si>
    <t>├── Screenshots</t>
  </si>
  <si>
    <t>│   ├── Dashboard.png</t>
  </si>
  <si>
    <t>│   ├── PivotTables.png</t>
  </si>
  <si>
    <t>│   └── Charts.png</t>
  </si>
  <si>
    <t>└── README.md</t>
  </si>
  <si>
    <t>About Section for GitHub</t>
  </si>
  <si>
    <t>Interactive Excel dashboard analyzing hospital operations, patient trends, medical expenses, and department performance using Pivot Tables, charts, and slicers.</t>
  </si>
  <si>
    <t>Very Important</t>
  </si>
  <si>
    <t>For Excel projects:</t>
  </si>
  <si>
    <t>visual presentation matters more than formulas.</t>
  </si>
  <si>
    <t>A clean dashboard with:</t>
  </si>
  <si>
    <t>alignment</t>
  </si>
  <si>
    <t>consistent colors</t>
  </si>
  <si>
    <t>proper spacing</t>
  </si>
  <si>
    <t>readable charts</t>
  </si>
  <si>
    <t>is more important than advanced Excel formulas.</t>
  </si>
  <si>
    <t>Suggested Workflow</t>
  </si>
  <si>
    <t>1. Clean dataset</t>
  </si>
  <si>
    <t>2. Create pivot tables</t>
  </si>
  <si>
    <t>3. Create charts from pivots</t>
  </si>
  <si>
    <t>4. Add slicers</t>
  </si>
  <si>
    <t>5. Arrange dashboard</t>
  </si>
  <si>
    <t>6. Take screenshots</t>
  </si>
  <si>
    <t>7. Upload to GitHub</t>
  </si>
  <si>
    <t>Once you build it, I can help you:</t>
  </si>
  <si>
    <t>arrange dashboard layout</t>
  </si>
  <si>
    <t>choose visuals</t>
  </si>
  <si>
    <t>create KPI formulas</t>
  </si>
  <si>
    <t>design dashboard professionally</t>
  </si>
  <si>
    <t>write GitHub README</t>
  </si>
  <si>
    <t>prepare interview questions from it</t>
  </si>
  <si>
    <t>Jan</t>
  </si>
  <si>
    <t>Feb</t>
  </si>
  <si>
    <t>Mar</t>
  </si>
  <si>
    <t>Apr</t>
  </si>
  <si>
    <t>May</t>
  </si>
  <si>
    <t>Jun</t>
  </si>
  <si>
    <t>Jul</t>
  </si>
  <si>
    <t>Aug</t>
  </si>
  <si>
    <t>Sep</t>
  </si>
  <si>
    <t>Oct</t>
  </si>
  <si>
    <t>Nov</t>
  </si>
  <si>
    <t>Dec</t>
  </si>
  <si>
    <t>Patients_Count</t>
  </si>
  <si>
    <t>Doctors_Count</t>
  </si>
  <si>
    <t>HOSPITAL DATA ANALYSIS</t>
  </si>
  <si>
    <t>No. of Departments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</si>
</sst>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4"/>
      <color theme="1"/>
      <name val="Calibri"/>
      <family val="2"/>
      <scheme val="minor"/>
    </font>
    <font>
      <b/>
      <sz val="11"/>
      <color theme="1"/>
      <name val="Calibri"/>
      <family val="2"/>
      <scheme val="minor"/>
    </font>
    <font>
      <sz val="11"/>
      <color theme="1"/>
      <name val="Arial Unicode MS"/>
    </font>
    <font>
      <sz val="12"/>
      <color theme="1"/>
      <name val="Calibri"/>
      <family val="2"/>
      <scheme val="minor"/>
    </font>
    <font>
      <b/>
      <sz val="25"/>
      <color theme="5"/>
      <name val="Bookman Old Style"/>
      <family val="1"/>
    </font>
    <font>
      <u/>
      <sz val="12"/>
      <color theme="1"/>
      <name val="Bahnschrift SemiBold"/>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2">
    <border>
      <left/>
      <right/>
      <top/>
      <bottom/>
      <diagonal/>
    </border>
    <border>
      <left style="medium">
        <color theme="4"/>
      </left>
      <right/>
      <top style="medium">
        <color theme="4"/>
      </top>
      <bottom style="medium">
        <color theme="4"/>
      </bottom>
      <diagonal/>
    </border>
    <border>
      <left/>
      <right/>
      <top style="medium">
        <color theme="4"/>
      </top>
      <bottom style="medium">
        <color theme="4"/>
      </bottom>
      <diagonal/>
    </border>
    <border>
      <left/>
      <right style="medium">
        <color theme="4"/>
      </right>
      <top style="medium">
        <color theme="4"/>
      </top>
      <bottom style="medium">
        <color theme="4"/>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theme="4"/>
      </left>
      <right/>
      <top/>
      <bottom/>
      <diagonal/>
    </border>
    <border>
      <left/>
      <right style="medium">
        <color theme="4"/>
      </right>
      <top/>
      <bottom/>
      <diagonal/>
    </border>
  </borders>
  <cellStyleXfs count="1">
    <xf numFmtId="0" fontId="0" fillId="0" borderId="0"/>
  </cellStyleXfs>
  <cellXfs count="3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0" fillId="0" borderId="0" xfId="0" applyFont="1"/>
    <xf numFmtId="0" fontId="2" fillId="0" borderId="0" xfId="0" applyFont="1" applyAlignment="1">
      <alignment vertical="center"/>
    </xf>
    <xf numFmtId="0" fontId="3" fillId="0" borderId="0" xfId="0" applyFont="1" applyAlignment="1">
      <alignment vertical="center"/>
    </xf>
    <xf numFmtId="0" fontId="0" fillId="0" borderId="0" xfId="0" applyFont="1" applyAlignment="1">
      <alignment horizontal="left" vertical="center" indent="1"/>
    </xf>
    <xf numFmtId="0" fontId="0" fillId="2" borderId="0" xfId="0" applyFill="1" applyBorder="1"/>
    <xf numFmtId="0" fontId="4" fillId="2" borderId="0" xfId="0" applyFont="1" applyFill="1" applyBorder="1" applyAlignment="1">
      <alignment horizontal="center"/>
    </xf>
    <xf numFmtId="0" fontId="1" fillId="2" borderId="0" xfId="0" applyFont="1" applyFill="1" applyBorder="1" applyAlignment="1">
      <alignment horizontal="center"/>
    </xf>
    <xf numFmtId="1" fontId="1" fillId="2" borderId="0" xfId="0" applyNumberFormat="1"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1" fontId="1" fillId="2" borderId="7" xfId="0" applyNumberFormat="1" applyFont="1" applyFill="1" applyBorder="1" applyAlignment="1">
      <alignment horizontal="center"/>
    </xf>
    <xf numFmtId="1" fontId="1" fillId="2" borderId="8" xfId="0" applyNumberFormat="1" applyFont="1" applyFill="1" applyBorder="1" applyAlignment="1">
      <alignment horizontal="center"/>
    </xf>
    <xf numFmtId="1" fontId="1" fillId="2" borderId="9" xfId="0" applyNumberFormat="1" applyFont="1" applyFill="1" applyBorder="1" applyAlignment="1">
      <alignment horizontal="center"/>
    </xf>
    <xf numFmtId="0" fontId="0" fillId="2" borderId="4" xfId="0" applyFill="1" applyBorder="1"/>
    <xf numFmtId="0" fontId="0" fillId="2" borderId="5" xfId="0" applyFill="1" applyBorder="1"/>
    <xf numFmtId="0" fontId="0" fillId="2" borderId="6" xfId="0" applyFill="1" applyBorder="1"/>
    <xf numFmtId="0" fontId="0" fillId="2" borderId="10" xfId="0" applyFill="1" applyBorder="1"/>
    <xf numFmtId="0" fontId="0" fillId="2" borderId="11" xfId="0" applyFill="1" applyBorder="1"/>
    <xf numFmtId="0" fontId="0" fillId="2" borderId="7" xfId="0" applyFill="1" applyBorder="1"/>
    <xf numFmtId="0" fontId="0" fillId="2" borderId="8" xfId="0" applyFill="1" applyBorder="1"/>
    <xf numFmtId="0" fontId="0" fillId="2" borderId="9" xfId="0" applyFill="1" applyBorder="1"/>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6" fillId="2" borderId="4" xfId="0" applyFont="1" applyFill="1" applyBorder="1" applyAlignment="1">
      <alignment horizontal="center"/>
    </xf>
    <xf numFmtId="0" fontId="6" fillId="2" borderId="5" xfId="0" applyFont="1" applyFill="1" applyBorder="1" applyAlignment="1">
      <alignment horizontal="center"/>
    </xf>
    <xf numFmtId="0" fontId="6" fillId="2" borderId="6" xfId="0" applyFont="1" applyFill="1" applyBorder="1" applyAlignment="1">
      <alignment horizontal="center"/>
    </xf>
    <xf numFmtId="0" fontId="0" fillId="3" borderId="0" xfId="0" applyFill="1"/>
  </cellXfs>
  <cellStyles count="1">
    <cellStyle name="Normal" xfId="0" builtinId="0"/>
  </cellStyles>
  <dxfs count="6">
    <dxf>
      <numFmt numFmtId="0" formatCode="General"/>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[hospitaldataanaysis.xlsx]Sheet2!PivotTable2</c:name>
    <c:fmtId val="4"/>
  </c:pivotSource>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IN" b="1">
                <a:solidFill>
                  <a:schemeClr val="accent2"/>
                </a:solidFill>
              </a:rPr>
              <a:t>Total Medical Expenses</a:t>
            </a:r>
            <a:r>
              <a:rPr lang="en-IN" b="1" baseline="0">
                <a:solidFill>
                  <a:schemeClr val="accent2"/>
                </a:solidFill>
              </a:rPr>
              <a:t> By Hospital</a:t>
            </a:r>
            <a:endParaRPr lang="en-IN" b="1">
              <a:solidFill>
                <a:schemeClr val="accent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594413137462393E-2"/>
          <c:y val="0.1806917212044119"/>
          <c:w val="0.88145534650190627"/>
          <c:h val="0.45131045522845453"/>
        </c:manualLayout>
      </c:layout>
      <c:barChart>
        <c:barDir val="col"/>
        <c:grouping val="clustered"/>
        <c:varyColors val="0"/>
        <c:ser>
          <c:idx val="0"/>
          <c:order val="0"/>
          <c:tx>
            <c:strRef>
              <c:f>Sheet2!$C$17</c:f>
              <c:strCache>
                <c:ptCount val="1"/>
                <c:pt idx="0">
                  <c:v>Total</c:v>
                </c:pt>
              </c:strCache>
            </c:strRef>
          </c:tx>
          <c:spPr>
            <a:solidFill>
              <a:schemeClr val="accent1"/>
            </a:solidFill>
            <a:ln>
              <a:noFill/>
            </a:ln>
            <a:effectLst/>
          </c:spPr>
          <c:invertIfNegative val="0"/>
          <c:cat>
            <c:strRef>
              <c:f>Sheet2!$B$18:$B$28</c:f>
              <c:strCache>
                <c:ptCount val="10"/>
                <c:pt idx="0">
                  <c:v>Apollo Health</c:v>
                </c:pt>
                <c:pt idx="1">
                  <c:v>City Hospital</c:v>
                </c:pt>
                <c:pt idx="2">
                  <c:v>Fortis Care</c:v>
                </c:pt>
                <c:pt idx="3">
                  <c:v>Global Medicare</c:v>
                </c:pt>
                <c:pt idx="4">
                  <c:v>Green Valley Hospital</c:v>
                </c:pt>
                <c:pt idx="5">
                  <c:v>Healing Touch</c:v>
                </c:pt>
                <c:pt idx="6">
                  <c:v>Heritage Hospital</c:v>
                </c:pt>
                <c:pt idx="7">
                  <c:v>Metro Hospital</c:v>
                </c:pt>
                <c:pt idx="8">
                  <c:v>Sunrise Medical</c:v>
                </c:pt>
                <c:pt idx="9">
                  <c:v>Wellness Clinic</c:v>
                </c:pt>
              </c:strCache>
            </c:strRef>
          </c:cat>
          <c:val>
            <c:numRef>
              <c:f>Sheet2!$C$18:$C$28</c:f>
              <c:numCache>
                <c:formatCode>General</c:formatCode>
                <c:ptCount val="10"/>
                <c:pt idx="0">
                  <c:v>277335.09000000003</c:v>
                </c:pt>
                <c:pt idx="1">
                  <c:v>347988.43999999994</c:v>
                </c:pt>
                <c:pt idx="2">
                  <c:v>337677.36</c:v>
                </c:pt>
                <c:pt idx="3">
                  <c:v>329739.44999999995</c:v>
                </c:pt>
                <c:pt idx="4">
                  <c:v>162188.82999999999</c:v>
                </c:pt>
                <c:pt idx="5">
                  <c:v>352178.06</c:v>
                </c:pt>
                <c:pt idx="6">
                  <c:v>186899.03</c:v>
                </c:pt>
                <c:pt idx="7">
                  <c:v>314786.05</c:v>
                </c:pt>
                <c:pt idx="8">
                  <c:v>233050.93</c:v>
                </c:pt>
                <c:pt idx="9">
                  <c:v>175467.82</c:v>
                </c:pt>
              </c:numCache>
            </c:numRef>
          </c:val>
          <c:extLst>
            <c:ext xmlns:c16="http://schemas.microsoft.com/office/drawing/2014/chart" uri="{C3380CC4-5D6E-409C-BE32-E72D297353CC}">
              <c16:uniqueId val="{00000000-90FA-4FD0-A247-FEFF377AFF5D}"/>
            </c:ext>
          </c:extLst>
        </c:ser>
        <c:dLbls>
          <c:showLegendKey val="0"/>
          <c:showVal val="0"/>
          <c:showCatName val="0"/>
          <c:showSerName val="0"/>
          <c:showPercent val="0"/>
          <c:showBubbleSize val="0"/>
        </c:dLbls>
        <c:gapWidth val="219"/>
        <c:overlap val="-27"/>
        <c:axId val="1112956799"/>
        <c:axId val="1112954399"/>
      </c:barChart>
      <c:catAx>
        <c:axId val="111295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954399"/>
        <c:crosses val="autoZero"/>
        <c:auto val="1"/>
        <c:lblAlgn val="ctr"/>
        <c:lblOffset val="100"/>
        <c:noMultiLvlLbl val="0"/>
      </c:catAx>
      <c:valAx>
        <c:axId val="1112954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956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[hospitaldataanaysis.xlsx]Sheet2!PivotTable4</c:name>
    <c:fmtId val="6"/>
  </c:pivotSource>
  <c:chart>
    <c:title>
      <c:tx>
        <c:rich>
          <a:bodyPr rot="0" spcFirstLastPara="1" vertOverflow="ellipsis" vert="horz" wrap="square" anchor="ctr" anchorCtr="1"/>
          <a:lstStyle/>
          <a:p>
            <a:pPr>
              <a:defRPr sz="1400" b="1" i="0" u="none" strike="noStrike" kern="1200" cap="none" spc="0" normalizeH="0" baseline="0">
                <a:solidFill>
                  <a:schemeClr val="accent2"/>
                </a:solidFill>
                <a:latin typeface="Calibri (Body)"/>
                <a:ea typeface="+mj-ea"/>
                <a:cs typeface="+mj-cs"/>
              </a:defRPr>
            </a:pPr>
            <a:r>
              <a:rPr lang="en-US" sz="1400">
                <a:solidFill>
                  <a:schemeClr val="accent2"/>
                </a:solidFill>
                <a:latin typeface="Calibri (Body)"/>
              </a:rPr>
              <a:t>Monthly Expense Trend</a:t>
            </a:r>
          </a:p>
        </c:rich>
      </c:tx>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accent2"/>
              </a:solidFill>
              <a:latin typeface="Calibri (Body)"/>
              <a:ea typeface="+mj-ea"/>
              <a:cs typeface="+mj-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077257601209763E-2"/>
          <c:y val="0.18768360999343425"/>
          <c:w val="0.88575313022800561"/>
          <c:h val="0.65731693715382422"/>
        </c:manualLayout>
      </c:layout>
      <c:lineChart>
        <c:grouping val="standard"/>
        <c:varyColors val="0"/>
        <c:ser>
          <c:idx val="0"/>
          <c:order val="0"/>
          <c:tx>
            <c:strRef>
              <c:f>Sheet2!$C$32</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Sheet2!$B$33:$B$45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Sheet2!$C$33:$C$45</c:f>
              <c:numCache>
                <c:formatCode>General</c:formatCode>
                <c:ptCount val="12"/>
                <c:pt idx="0">
                  <c:v>173971.54</c:v>
                </c:pt>
                <c:pt idx="1">
                  <c:v>301722.71999999997</c:v>
                </c:pt>
                <c:pt idx="2">
                  <c:v>199247.42</c:v>
                </c:pt>
                <c:pt idx="3">
                  <c:v>88995.93</c:v>
                </c:pt>
                <c:pt idx="4">
                  <c:v>222986.71999999997</c:v>
                </c:pt>
                <c:pt idx="5">
                  <c:v>165926.36000000002</c:v>
                </c:pt>
                <c:pt idx="6">
                  <c:v>211527.13</c:v>
                </c:pt>
                <c:pt idx="7">
                  <c:v>181039.55</c:v>
                </c:pt>
                <c:pt idx="8">
                  <c:v>341284.23</c:v>
                </c:pt>
                <c:pt idx="9">
                  <c:v>158450.68</c:v>
                </c:pt>
                <c:pt idx="10">
                  <c:v>334370.33</c:v>
                </c:pt>
                <c:pt idx="11">
                  <c:v>337788.45000000007</c:v>
                </c:pt>
              </c:numCache>
            </c:numRef>
          </c:val>
          <c:smooth val="0"/>
          <c:extLst>
            <c:ext xmlns:c16="http://schemas.microsoft.com/office/drawing/2014/chart" uri="{C3380CC4-5D6E-409C-BE32-E72D297353CC}">
              <c16:uniqueId val="{00000000-13ED-4887-92C1-A28C4D9B2F3F}"/>
            </c:ext>
          </c:extLst>
        </c:ser>
        <c:dLbls>
          <c:dLblPos val="t"/>
          <c:showLegendKey val="0"/>
          <c:showVal val="1"/>
          <c:showCatName val="0"/>
          <c:showSerName val="0"/>
          <c:showPercent val="0"/>
          <c:showBubbleSize val="0"/>
        </c:dLbls>
        <c:marker val="1"/>
        <c:smooth val="0"/>
        <c:axId val="1112942879"/>
        <c:axId val="1112947679"/>
      </c:lineChart>
      <c:catAx>
        <c:axId val="1112942879"/>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12947679"/>
        <c:crosses val="autoZero"/>
        <c:auto val="1"/>
        <c:lblAlgn val="ctr"/>
        <c:lblOffset val="100"/>
        <c:noMultiLvlLbl val="0"/>
      </c:catAx>
      <c:valAx>
        <c:axId val="1112947679"/>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1294287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[hospitaldataanaysis.xlsx]Sheet2!PivotTable5</c:name>
    <c:fmtId val="6"/>
  </c:pivotSource>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Department Wise Patients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5">
              <a:shade val="42000"/>
            </a:schemeClr>
          </a:solidFill>
          <a:ln w="19050">
            <a:solidFill>
              <a:schemeClr val="lt1"/>
            </a:solidFill>
          </a:ln>
          <a:effectLst/>
        </c:spPr>
      </c:pivotFmt>
      <c:pivotFmt>
        <c:idx val="14"/>
        <c:spPr>
          <a:solidFill>
            <a:schemeClr val="accent5">
              <a:shade val="55000"/>
            </a:schemeClr>
          </a:solidFill>
          <a:ln w="19050">
            <a:solidFill>
              <a:schemeClr val="lt1"/>
            </a:solidFill>
          </a:ln>
          <a:effectLst/>
        </c:spPr>
      </c:pivotFmt>
      <c:pivotFmt>
        <c:idx val="15"/>
        <c:spPr>
          <a:solidFill>
            <a:schemeClr val="accent5">
              <a:shade val="68000"/>
            </a:schemeClr>
          </a:solidFill>
          <a:ln w="19050">
            <a:solidFill>
              <a:schemeClr val="lt1"/>
            </a:solidFill>
          </a:ln>
          <a:effectLst/>
        </c:spPr>
      </c:pivotFmt>
      <c:pivotFmt>
        <c:idx val="16"/>
        <c:spPr>
          <a:solidFill>
            <a:schemeClr val="accent5">
              <a:shade val="80000"/>
            </a:schemeClr>
          </a:solidFill>
          <a:ln w="19050">
            <a:solidFill>
              <a:schemeClr val="lt1"/>
            </a:solidFill>
          </a:ln>
          <a:effectLst/>
        </c:spPr>
      </c:pivotFmt>
      <c:pivotFmt>
        <c:idx val="17"/>
        <c:spPr>
          <a:solidFill>
            <a:schemeClr val="accent5">
              <a:shade val="93000"/>
            </a:schemeClr>
          </a:solidFill>
          <a:ln w="19050">
            <a:solidFill>
              <a:schemeClr val="lt1"/>
            </a:solidFill>
          </a:ln>
          <a:effectLst/>
        </c:spPr>
      </c:pivotFmt>
      <c:pivotFmt>
        <c:idx val="18"/>
        <c:spPr>
          <a:solidFill>
            <a:schemeClr val="accent5">
              <a:tint val="94000"/>
            </a:schemeClr>
          </a:solidFill>
          <a:ln w="19050">
            <a:solidFill>
              <a:schemeClr val="lt1"/>
            </a:solidFill>
          </a:ln>
          <a:effectLst/>
        </c:spPr>
      </c:pivotFmt>
      <c:pivotFmt>
        <c:idx val="19"/>
        <c:spPr>
          <a:solidFill>
            <a:schemeClr val="accent5">
              <a:tint val="81000"/>
            </a:schemeClr>
          </a:solidFill>
          <a:ln w="19050">
            <a:solidFill>
              <a:schemeClr val="lt1"/>
            </a:solidFill>
          </a:ln>
          <a:effectLst/>
        </c:spPr>
      </c:pivotFmt>
      <c:pivotFmt>
        <c:idx val="20"/>
        <c:spPr>
          <a:solidFill>
            <a:schemeClr val="accent5">
              <a:tint val="69000"/>
            </a:schemeClr>
          </a:solidFill>
          <a:ln w="19050">
            <a:solidFill>
              <a:schemeClr val="lt1"/>
            </a:solidFill>
          </a:ln>
          <a:effectLst/>
        </c:spPr>
      </c:pivotFmt>
      <c:pivotFmt>
        <c:idx val="21"/>
        <c:spPr>
          <a:solidFill>
            <a:schemeClr val="accent5">
              <a:tint val="56000"/>
            </a:schemeClr>
          </a:solidFill>
          <a:ln w="19050">
            <a:solidFill>
              <a:schemeClr val="lt1"/>
            </a:solidFill>
          </a:ln>
          <a:effectLst/>
        </c:spPr>
      </c:pivotFmt>
      <c:pivotFmt>
        <c:idx val="22"/>
        <c:spPr>
          <a:solidFill>
            <a:schemeClr val="accent5">
              <a:tint val="43000"/>
            </a:schemeClr>
          </a:solidFill>
          <a:ln w="19050">
            <a:solidFill>
              <a:schemeClr val="lt1"/>
            </a:solidFill>
          </a:ln>
          <a:effectLst/>
        </c:spPr>
      </c:pivotFmt>
    </c:pivotFmts>
    <c:plotArea>
      <c:layout>
        <c:manualLayout>
          <c:layoutTarget val="inner"/>
          <c:xMode val="edge"/>
          <c:yMode val="edge"/>
          <c:x val="0.14356997713995429"/>
          <c:y val="0.15310191841169848"/>
          <c:w val="0.47783794767589544"/>
          <c:h val="0.81539237047654511"/>
        </c:manualLayout>
      </c:layout>
      <c:doughnutChart>
        <c:varyColors val="1"/>
        <c:ser>
          <c:idx val="0"/>
          <c:order val="0"/>
          <c:tx>
            <c:strRef>
              <c:f>Sheet2!$R$3</c:f>
              <c:strCache>
                <c:ptCount val="1"/>
                <c:pt idx="0">
                  <c:v>Total</c:v>
                </c:pt>
              </c:strCache>
            </c:strRef>
          </c:tx>
          <c:dPt>
            <c:idx val="0"/>
            <c:bubble3D val="0"/>
            <c:spPr>
              <a:solidFill>
                <a:schemeClr val="accent5">
                  <a:shade val="42000"/>
                </a:schemeClr>
              </a:solidFill>
              <a:ln w="19050">
                <a:solidFill>
                  <a:schemeClr val="lt1"/>
                </a:solidFill>
              </a:ln>
              <a:effectLst/>
            </c:spPr>
            <c:extLst>
              <c:ext xmlns:c16="http://schemas.microsoft.com/office/drawing/2014/chart" uri="{C3380CC4-5D6E-409C-BE32-E72D297353CC}">
                <c16:uniqueId val="{00000001-764B-4B72-91CE-7145D2CA9202}"/>
              </c:ext>
            </c:extLst>
          </c:dPt>
          <c:dPt>
            <c:idx val="1"/>
            <c:bubble3D val="0"/>
            <c:spPr>
              <a:solidFill>
                <a:schemeClr val="accent5">
                  <a:shade val="55000"/>
                </a:schemeClr>
              </a:solidFill>
              <a:ln w="19050">
                <a:solidFill>
                  <a:schemeClr val="lt1"/>
                </a:solidFill>
              </a:ln>
              <a:effectLst/>
            </c:spPr>
            <c:extLst>
              <c:ext xmlns:c16="http://schemas.microsoft.com/office/drawing/2014/chart" uri="{C3380CC4-5D6E-409C-BE32-E72D297353CC}">
                <c16:uniqueId val="{00000003-764B-4B72-91CE-7145D2CA9202}"/>
              </c:ext>
            </c:extLst>
          </c:dPt>
          <c:dPt>
            <c:idx val="2"/>
            <c:bubble3D val="0"/>
            <c:spPr>
              <a:solidFill>
                <a:schemeClr val="accent5">
                  <a:shade val="68000"/>
                </a:schemeClr>
              </a:solidFill>
              <a:ln w="19050">
                <a:solidFill>
                  <a:schemeClr val="lt1"/>
                </a:solidFill>
              </a:ln>
              <a:effectLst/>
            </c:spPr>
            <c:extLst>
              <c:ext xmlns:c16="http://schemas.microsoft.com/office/drawing/2014/chart" uri="{C3380CC4-5D6E-409C-BE32-E72D297353CC}">
                <c16:uniqueId val="{00000005-764B-4B72-91CE-7145D2CA9202}"/>
              </c:ext>
            </c:extLst>
          </c:dPt>
          <c:dPt>
            <c:idx val="3"/>
            <c:bubble3D val="0"/>
            <c:spPr>
              <a:solidFill>
                <a:schemeClr val="accent5">
                  <a:shade val="80000"/>
                </a:schemeClr>
              </a:solidFill>
              <a:ln w="19050">
                <a:solidFill>
                  <a:schemeClr val="lt1"/>
                </a:solidFill>
              </a:ln>
              <a:effectLst/>
            </c:spPr>
            <c:extLst>
              <c:ext xmlns:c16="http://schemas.microsoft.com/office/drawing/2014/chart" uri="{C3380CC4-5D6E-409C-BE32-E72D297353CC}">
                <c16:uniqueId val="{00000007-764B-4B72-91CE-7145D2CA9202}"/>
              </c:ext>
            </c:extLst>
          </c:dPt>
          <c:dPt>
            <c:idx val="4"/>
            <c:bubble3D val="0"/>
            <c:spPr>
              <a:solidFill>
                <a:schemeClr val="accent5">
                  <a:shade val="93000"/>
                </a:schemeClr>
              </a:solidFill>
              <a:ln w="19050">
                <a:solidFill>
                  <a:schemeClr val="lt1"/>
                </a:solidFill>
              </a:ln>
              <a:effectLst/>
            </c:spPr>
            <c:extLst>
              <c:ext xmlns:c16="http://schemas.microsoft.com/office/drawing/2014/chart" uri="{C3380CC4-5D6E-409C-BE32-E72D297353CC}">
                <c16:uniqueId val="{00000009-764B-4B72-91CE-7145D2CA9202}"/>
              </c:ext>
            </c:extLst>
          </c:dPt>
          <c:dPt>
            <c:idx val="5"/>
            <c:bubble3D val="0"/>
            <c:spPr>
              <a:solidFill>
                <a:schemeClr val="accent5">
                  <a:tint val="94000"/>
                </a:schemeClr>
              </a:solidFill>
              <a:ln w="19050">
                <a:solidFill>
                  <a:schemeClr val="lt1"/>
                </a:solidFill>
              </a:ln>
              <a:effectLst/>
            </c:spPr>
            <c:extLst>
              <c:ext xmlns:c16="http://schemas.microsoft.com/office/drawing/2014/chart" uri="{C3380CC4-5D6E-409C-BE32-E72D297353CC}">
                <c16:uniqueId val="{0000000B-764B-4B72-91CE-7145D2CA9202}"/>
              </c:ext>
            </c:extLst>
          </c:dPt>
          <c:dPt>
            <c:idx val="6"/>
            <c:bubble3D val="0"/>
            <c:spPr>
              <a:solidFill>
                <a:schemeClr val="accent5">
                  <a:tint val="81000"/>
                </a:schemeClr>
              </a:solidFill>
              <a:ln w="19050">
                <a:solidFill>
                  <a:schemeClr val="lt1"/>
                </a:solidFill>
              </a:ln>
              <a:effectLst/>
            </c:spPr>
            <c:extLst>
              <c:ext xmlns:c16="http://schemas.microsoft.com/office/drawing/2014/chart" uri="{C3380CC4-5D6E-409C-BE32-E72D297353CC}">
                <c16:uniqueId val="{0000000D-764B-4B72-91CE-7145D2CA9202}"/>
              </c:ext>
            </c:extLst>
          </c:dPt>
          <c:dPt>
            <c:idx val="7"/>
            <c:bubble3D val="0"/>
            <c:spPr>
              <a:solidFill>
                <a:schemeClr val="accent5">
                  <a:tint val="69000"/>
                </a:schemeClr>
              </a:solidFill>
              <a:ln w="19050">
                <a:solidFill>
                  <a:schemeClr val="lt1"/>
                </a:solidFill>
              </a:ln>
              <a:effectLst/>
            </c:spPr>
            <c:extLst>
              <c:ext xmlns:c16="http://schemas.microsoft.com/office/drawing/2014/chart" uri="{C3380CC4-5D6E-409C-BE32-E72D297353CC}">
                <c16:uniqueId val="{0000000F-764B-4B72-91CE-7145D2CA9202}"/>
              </c:ext>
            </c:extLst>
          </c:dPt>
          <c:dPt>
            <c:idx val="8"/>
            <c:bubble3D val="0"/>
            <c:spPr>
              <a:solidFill>
                <a:schemeClr val="accent5">
                  <a:tint val="56000"/>
                </a:schemeClr>
              </a:solidFill>
              <a:ln w="19050">
                <a:solidFill>
                  <a:schemeClr val="lt1"/>
                </a:solidFill>
              </a:ln>
              <a:effectLst/>
            </c:spPr>
            <c:extLst>
              <c:ext xmlns:c16="http://schemas.microsoft.com/office/drawing/2014/chart" uri="{C3380CC4-5D6E-409C-BE32-E72D297353CC}">
                <c16:uniqueId val="{00000011-764B-4B72-91CE-7145D2CA9202}"/>
              </c:ext>
            </c:extLst>
          </c:dPt>
          <c:dPt>
            <c:idx val="9"/>
            <c:bubble3D val="0"/>
            <c:spPr>
              <a:solidFill>
                <a:schemeClr val="accent5">
                  <a:tint val="43000"/>
                </a:schemeClr>
              </a:solidFill>
              <a:ln w="19050">
                <a:solidFill>
                  <a:schemeClr val="lt1"/>
                </a:solidFill>
              </a:ln>
              <a:effectLst/>
            </c:spPr>
            <c:extLst>
              <c:ext xmlns:c16="http://schemas.microsoft.com/office/drawing/2014/chart" uri="{C3380CC4-5D6E-409C-BE32-E72D297353CC}">
                <c16:uniqueId val="{00000013-764B-4B72-91CE-7145D2CA92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Sheet2!$Q$4:$Q$14</c:f>
              <c:strCache>
                <c:ptCount val="10"/>
                <c:pt idx="0">
                  <c:v>Cardiology</c:v>
                </c:pt>
                <c:pt idx="1">
                  <c:v>Dermatology</c:v>
                </c:pt>
                <c:pt idx="2">
                  <c:v>ENT</c:v>
                </c:pt>
                <c:pt idx="3">
                  <c:v>General Medicine</c:v>
                </c:pt>
                <c:pt idx="4">
                  <c:v>Gynecology</c:v>
                </c:pt>
                <c:pt idx="5">
                  <c:v>Neurology</c:v>
                </c:pt>
                <c:pt idx="6">
                  <c:v>Oncology</c:v>
                </c:pt>
                <c:pt idx="7">
                  <c:v>Orthopedics</c:v>
                </c:pt>
                <c:pt idx="8">
                  <c:v>Pediatrics</c:v>
                </c:pt>
                <c:pt idx="9">
                  <c:v>Urology</c:v>
                </c:pt>
              </c:strCache>
            </c:strRef>
          </c:cat>
          <c:val>
            <c:numRef>
              <c:f>Sheet2!$R$4:$R$14</c:f>
              <c:numCache>
                <c:formatCode>General</c:formatCode>
                <c:ptCount val="10"/>
                <c:pt idx="0">
                  <c:v>544</c:v>
                </c:pt>
                <c:pt idx="1">
                  <c:v>978</c:v>
                </c:pt>
                <c:pt idx="2">
                  <c:v>1064</c:v>
                </c:pt>
                <c:pt idx="3">
                  <c:v>563</c:v>
                </c:pt>
                <c:pt idx="4">
                  <c:v>678</c:v>
                </c:pt>
                <c:pt idx="5">
                  <c:v>1229</c:v>
                </c:pt>
                <c:pt idx="6">
                  <c:v>770</c:v>
                </c:pt>
                <c:pt idx="7">
                  <c:v>762</c:v>
                </c:pt>
                <c:pt idx="8">
                  <c:v>993</c:v>
                </c:pt>
                <c:pt idx="9">
                  <c:v>1766</c:v>
                </c:pt>
              </c:numCache>
            </c:numRef>
          </c:val>
          <c:extLst>
            <c:ext xmlns:c16="http://schemas.microsoft.com/office/drawing/2014/chart" uri="{C3380CC4-5D6E-409C-BE32-E72D297353CC}">
              <c16:uniqueId val="{00000014-764B-4B72-91CE-7145D2CA920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401041402082808"/>
          <c:y val="0.15070417468334568"/>
          <c:w val="0.28340894081788165"/>
          <c:h val="0.831197021111154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[hospitaldataanaysis.xlsx]Sheet2!PivotTable6</c:name>
    <c:fmtId val="8"/>
  </c:pivotSource>
  <c:chart>
    <c:title>
      <c:tx>
        <c:rich>
          <a:bodyPr rot="0" spcFirstLastPara="1" vertOverflow="ellipsis" vert="horz" wrap="square" anchor="ctr" anchorCtr="1"/>
          <a:lstStyle/>
          <a:p>
            <a:pPr>
              <a:defRPr sz="1200" b="1" i="0" u="none" strike="noStrike" kern="1200" cap="all" spc="150" baseline="0">
                <a:solidFill>
                  <a:schemeClr val="accent2"/>
                </a:solidFill>
                <a:latin typeface="+mn-lt"/>
                <a:ea typeface="+mn-ea"/>
                <a:cs typeface="+mn-cs"/>
              </a:defRPr>
            </a:pPr>
            <a:r>
              <a:rPr lang="en-US" sz="1200">
                <a:solidFill>
                  <a:schemeClr val="accent2"/>
                </a:solidFill>
              </a:rPr>
              <a:t>Expenses By City</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accent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017315371123637E-2"/>
          <c:y val="0.14871001540512363"/>
          <c:w val="0.89912960406015596"/>
          <c:h val="0.72394355604197236"/>
        </c:manualLayout>
      </c:layout>
      <c:barChart>
        <c:barDir val="col"/>
        <c:grouping val="clustered"/>
        <c:varyColors val="0"/>
        <c:ser>
          <c:idx val="0"/>
          <c:order val="0"/>
          <c:tx>
            <c:strRef>
              <c:f>Sheet2!$R$18</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Sheet2!$Q$19:$Q$29</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Sheet2!$R$19:$R$29</c:f>
              <c:numCache>
                <c:formatCode>General</c:formatCode>
                <c:ptCount val="10"/>
                <c:pt idx="0">
                  <c:v>523939.12</c:v>
                </c:pt>
                <c:pt idx="1">
                  <c:v>224814.8</c:v>
                </c:pt>
                <c:pt idx="2">
                  <c:v>269218.94</c:v>
                </c:pt>
                <c:pt idx="3">
                  <c:v>197037.91999999998</c:v>
                </c:pt>
                <c:pt idx="4">
                  <c:v>237268.53999999998</c:v>
                </c:pt>
                <c:pt idx="5">
                  <c:v>438315.39</c:v>
                </c:pt>
                <c:pt idx="6">
                  <c:v>163356.59</c:v>
                </c:pt>
                <c:pt idx="7">
                  <c:v>243717.09</c:v>
                </c:pt>
                <c:pt idx="8">
                  <c:v>163971.52000000002</c:v>
                </c:pt>
                <c:pt idx="9">
                  <c:v>255671.15</c:v>
                </c:pt>
              </c:numCache>
            </c:numRef>
          </c:val>
          <c:extLst>
            <c:ext xmlns:c16="http://schemas.microsoft.com/office/drawing/2014/chart" uri="{C3380CC4-5D6E-409C-BE32-E72D297353CC}">
              <c16:uniqueId val="{00000000-ADB5-4715-A3FF-CFFE0B5B80DB}"/>
            </c:ext>
          </c:extLst>
        </c:ser>
        <c:dLbls>
          <c:dLblPos val="outEnd"/>
          <c:showLegendKey val="0"/>
          <c:showVal val="1"/>
          <c:showCatName val="0"/>
          <c:showSerName val="0"/>
          <c:showPercent val="0"/>
          <c:showBubbleSize val="0"/>
        </c:dLbls>
        <c:gapWidth val="164"/>
        <c:overlap val="-22"/>
        <c:axId val="1230505791"/>
        <c:axId val="1230510111"/>
      </c:barChart>
      <c:catAx>
        <c:axId val="123050579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510111"/>
        <c:crosses val="autoZero"/>
        <c:auto val="1"/>
        <c:lblAlgn val="ctr"/>
        <c:lblOffset val="100"/>
        <c:noMultiLvlLbl val="0"/>
      </c:catAx>
      <c:valAx>
        <c:axId val="123051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5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[hospitaldataanaysis.xlsx]Sheet2!PivotTable8</c:name>
    <c:fmtId val="8"/>
  </c:pivotSource>
  <c:chart>
    <c:title>
      <c:tx>
        <c:rich>
          <a:bodyPr rot="0" spcFirstLastPara="1" vertOverflow="ellipsis" vert="horz" wrap="square" anchor="ctr" anchorCtr="1"/>
          <a:lstStyle/>
          <a:p>
            <a:pPr>
              <a:defRPr sz="1200" b="1" i="0" u="none" strike="noStrike" kern="1200" cap="all" spc="120" normalizeH="0" baseline="0">
                <a:solidFill>
                  <a:schemeClr val="accent2"/>
                </a:solidFill>
                <a:latin typeface="Calibri (Body)"/>
                <a:ea typeface="+mn-ea"/>
                <a:cs typeface="+mn-cs"/>
              </a:defRPr>
            </a:pPr>
            <a:r>
              <a:rPr lang="en-IN" sz="1200">
                <a:solidFill>
                  <a:schemeClr val="accent2"/>
                </a:solidFill>
                <a:latin typeface="Calibri (Body)"/>
              </a:rPr>
              <a:t>Department-wise Doctors Vs Patients</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accent2"/>
              </a:solidFill>
              <a:latin typeface="Calibri (Body)"/>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06972981479735E-2"/>
          <c:y val="0.12943062945162459"/>
          <c:w val="0.9264705495339538"/>
          <c:h val="0.71938078350342316"/>
        </c:manualLayout>
      </c:layout>
      <c:barChart>
        <c:barDir val="col"/>
        <c:grouping val="stacked"/>
        <c:varyColors val="0"/>
        <c:ser>
          <c:idx val="0"/>
          <c:order val="0"/>
          <c:tx>
            <c:strRef>
              <c:f>Sheet2!$Q$33</c:f>
              <c:strCache>
                <c:ptCount val="1"/>
                <c:pt idx="0">
                  <c:v>Doctors_Count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Sheet2!$Q$34</c:f>
              <c:strCache>
                <c:ptCount val="1"/>
                <c:pt idx="0">
                  <c:v>Total</c:v>
                </c:pt>
              </c:strCache>
            </c:strRef>
          </c:cat>
          <c:val>
            <c:numRef>
              <c:f>Sheet2!$Q$34</c:f>
              <c:numCache>
                <c:formatCode>General</c:formatCode>
                <c:ptCount val="1"/>
                <c:pt idx="0">
                  <c:v>2671</c:v>
                </c:pt>
              </c:numCache>
            </c:numRef>
          </c:val>
          <c:extLst>
            <c:ext xmlns:c16="http://schemas.microsoft.com/office/drawing/2014/chart" uri="{C3380CC4-5D6E-409C-BE32-E72D297353CC}">
              <c16:uniqueId val="{00000000-1424-4497-B33A-98CFEC6C1CD1}"/>
            </c:ext>
          </c:extLst>
        </c:ser>
        <c:ser>
          <c:idx val="1"/>
          <c:order val="1"/>
          <c:tx>
            <c:strRef>
              <c:f>Sheet2!$R$33</c:f>
              <c:strCache>
                <c:ptCount val="1"/>
                <c:pt idx="0">
                  <c:v>Patients_Count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Sheet2!$Q$34</c:f>
              <c:strCache>
                <c:ptCount val="1"/>
                <c:pt idx="0">
                  <c:v>Total</c:v>
                </c:pt>
              </c:strCache>
            </c:strRef>
          </c:cat>
          <c:val>
            <c:numRef>
              <c:f>Sheet2!$R$34</c:f>
              <c:numCache>
                <c:formatCode>General</c:formatCode>
                <c:ptCount val="1"/>
                <c:pt idx="0">
                  <c:v>9347</c:v>
                </c:pt>
              </c:numCache>
            </c:numRef>
          </c:val>
          <c:extLst>
            <c:ext xmlns:c16="http://schemas.microsoft.com/office/drawing/2014/chart" uri="{C3380CC4-5D6E-409C-BE32-E72D297353CC}">
              <c16:uniqueId val="{00000001-1424-4497-B33A-98CFEC6C1CD1}"/>
            </c:ext>
          </c:extLst>
        </c:ser>
        <c:dLbls>
          <c:dLblPos val="ctr"/>
          <c:showLegendKey val="0"/>
          <c:showVal val="1"/>
          <c:showCatName val="0"/>
          <c:showSerName val="0"/>
          <c:showPercent val="0"/>
          <c:showBubbleSize val="0"/>
        </c:dLbls>
        <c:gapWidth val="79"/>
        <c:overlap val="100"/>
        <c:axId val="1230525951"/>
        <c:axId val="1230542751"/>
      </c:barChart>
      <c:catAx>
        <c:axId val="1230525951"/>
        <c:scaling>
          <c:orientation val="minMax"/>
        </c:scaling>
        <c:delete val="1"/>
        <c:axPos val="b"/>
        <c:numFmt formatCode="General" sourceLinked="1"/>
        <c:majorTickMark val="none"/>
        <c:minorTickMark val="none"/>
        <c:tickLblPos val="nextTo"/>
        <c:crossAx val="1230542751"/>
        <c:crosses val="autoZero"/>
        <c:auto val="1"/>
        <c:lblAlgn val="ctr"/>
        <c:lblOffset val="100"/>
        <c:noMultiLvlLbl val="0"/>
      </c:catAx>
      <c:valAx>
        <c:axId val="1230542751"/>
        <c:scaling>
          <c:orientation val="minMax"/>
        </c:scaling>
        <c:delete val="1"/>
        <c:axPos val="l"/>
        <c:numFmt formatCode="General" sourceLinked="1"/>
        <c:majorTickMark val="none"/>
        <c:minorTickMark val="none"/>
        <c:tickLblPos val="nextTo"/>
        <c:crossAx val="1230525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[hospitaldataanaysis.xlsx]Sheet2!PivotTable1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Patient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Sheet2!$B$3:$B$13</c:f>
              <c:strCache>
                <c:ptCount val="10"/>
                <c:pt idx="0">
                  <c:v>Cardiology</c:v>
                </c:pt>
                <c:pt idx="1">
                  <c:v>Dermatology</c:v>
                </c:pt>
                <c:pt idx="2">
                  <c:v>ENT</c:v>
                </c:pt>
                <c:pt idx="3">
                  <c:v>General Medicine</c:v>
                </c:pt>
                <c:pt idx="4">
                  <c:v>Gynecology</c:v>
                </c:pt>
                <c:pt idx="5">
                  <c:v>Neurology</c:v>
                </c:pt>
                <c:pt idx="6">
                  <c:v>Oncology</c:v>
                </c:pt>
                <c:pt idx="7">
                  <c:v>Orthopedics</c:v>
                </c:pt>
                <c:pt idx="8">
                  <c:v>Pediatrics</c:v>
                </c:pt>
                <c:pt idx="9">
                  <c:v>Urology</c:v>
                </c:pt>
              </c:strCache>
            </c:strRef>
          </c:cat>
          <c:val>
            <c:numRef>
              <c:f>Sheet2!$C$3:$C$13</c:f>
              <c:numCache>
                <c:formatCode>General</c:formatCode>
                <c:ptCount val="10"/>
                <c:pt idx="0">
                  <c:v>544</c:v>
                </c:pt>
                <c:pt idx="1">
                  <c:v>978</c:v>
                </c:pt>
                <c:pt idx="2">
                  <c:v>1064</c:v>
                </c:pt>
                <c:pt idx="3">
                  <c:v>563</c:v>
                </c:pt>
                <c:pt idx="4">
                  <c:v>678</c:v>
                </c:pt>
                <c:pt idx="5">
                  <c:v>1229</c:v>
                </c:pt>
                <c:pt idx="6">
                  <c:v>770</c:v>
                </c:pt>
                <c:pt idx="7">
                  <c:v>762</c:v>
                </c:pt>
                <c:pt idx="8">
                  <c:v>993</c:v>
                </c:pt>
                <c:pt idx="9">
                  <c:v>1766</c:v>
                </c:pt>
              </c:numCache>
            </c:numRef>
          </c:val>
          <c:extLst>
            <c:ext xmlns:c16="http://schemas.microsoft.com/office/drawing/2014/chart" uri="{C3380CC4-5D6E-409C-BE32-E72D297353CC}">
              <c16:uniqueId val="{00000000-F2D9-43E8-AB21-AF9D6481CC89}"/>
            </c:ext>
          </c:extLst>
        </c:ser>
        <c:dLbls>
          <c:dLblPos val="outEnd"/>
          <c:showLegendKey val="0"/>
          <c:showVal val="1"/>
          <c:showCatName val="0"/>
          <c:showSerName val="0"/>
          <c:showPercent val="0"/>
          <c:showBubbleSize val="0"/>
        </c:dLbls>
        <c:gapWidth val="219"/>
        <c:axId val="726983855"/>
        <c:axId val="726980495"/>
      </c:barChart>
      <c:catAx>
        <c:axId val="7269838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980495"/>
        <c:crosses val="autoZero"/>
        <c:auto val="1"/>
        <c:lblAlgn val="ctr"/>
        <c:lblOffset val="100"/>
        <c:noMultiLvlLbl val="0"/>
      </c:catAx>
      <c:valAx>
        <c:axId val="7269804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Patient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98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[hospitaldataanaysis.xlsx]Sheet2!PivotTable2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Medical Expenses</a:t>
            </a:r>
            <a:r>
              <a:rPr lang="en-IN" baseline="0"/>
              <a:t> By Hospital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Sheet2!$C$17</c:f>
              <c:strCache>
                <c:ptCount val="1"/>
                <c:pt idx="0">
                  <c:v>Total</c:v>
                </c:pt>
              </c:strCache>
            </c:strRef>
          </c:tx>
          <c:spPr>
            <a:solidFill>
              <a:schemeClr val="accent1"/>
            </a:solidFill>
            <a:ln>
              <a:noFill/>
            </a:ln>
            <a:effectLst/>
          </c:spPr>
          <c:invertIfNegative val="0"/>
          <c:cat>
            <c:strRef>
              <c:f>Sheet2!$B$18:$B$28</c:f>
              <c:strCache>
                <c:ptCount val="10"/>
                <c:pt idx="0">
                  <c:v>Apollo Health</c:v>
                </c:pt>
                <c:pt idx="1">
                  <c:v>City Hospital</c:v>
                </c:pt>
                <c:pt idx="2">
                  <c:v>Fortis Care</c:v>
                </c:pt>
                <c:pt idx="3">
                  <c:v>Global Medicare</c:v>
                </c:pt>
                <c:pt idx="4">
                  <c:v>Green Valley Hospital</c:v>
                </c:pt>
                <c:pt idx="5">
                  <c:v>Healing Touch</c:v>
                </c:pt>
                <c:pt idx="6">
                  <c:v>Heritage Hospital</c:v>
                </c:pt>
                <c:pt idx="7">
                  <c:v>Metro Hospital</c:v>
                </c:pt>
                <c:pt idx="8">
                  <c:v>Sunrise Medical</c:v>
                </c:pt>
                <c:pt idx="9">
                  <c:v>Wellness Clinic</c:v>
                </c:pt>
              </c:strCache>
            </c:strRef>
          </c:cat>
          <c:val>
            <c:numRef>
              <c:f>Sheet2!$C$18:$C$28</c:f>
              <c:numCache>
                <c:formatCode>General</c:formatCode>
                <c:ptCount val="10"/>
                <c:pt idx="0">
                  <c:v>277335.09000000003</c:v>
                </c:pt>
                <c:pt idx="1">
                  <c:v>347988.43999999994</c:v>
                </c:pt>
                <c:pt idx="2">
                  <c:v>337677.36</c:v>
                </c:pt>
                <c:pt idx="3">
                  <c:v>329739.44999999995</c:v>
                </c:pt>
                <c:pt idx="4">
                  <c:v>162188.82999999999</c:v>
                </c:pt>
                <c:pt idx="5">
                  <c:v>352178.06</c:v>
                </c:pt>
                <c:pt idx="6">
                  <c:v>186899.03</c:v>
                </c:pt>
                <c:pt idx="7">
                  <c:v>314786.05</c:v>
                </c:pt>
                <c:pt idx="8">
                  <c:v>233050.93</c:v>
                </c:pt>
                <c:pt idx="9">
                  <c:v>175467.82</c:v>
                </c:pt>
              </c:numCache>
            </c:numRef>
          </c:val>
          <c:extLst>
            <c:ext xmlns:c16="http://schemas.microsoft.com/office/drawing/2014/chart" uri="{C3380CC4-5D6E-409C-BE32-E72D297353CC}">
              <c16:uniqueId val="{00000000-4867-42EF-8A9C-4C4BA20E696D}"/>
            </c:ext>
          </c:extLst>
        </c:ser>
        <c:dLbls>
          <c:dLblPos val="outEnd"/>
          <c:showLegendKey val="0"/>
          <c:showVal val="0"/>
          <c:showCatName val="0"/>
          <c:showSerName val="0"/>
          <c:showPercent val="0"/>
          <c:showBubbleSize val="0"/>
        </c:dLbls>
        <c:gapWidth val="219"/>
        <c:overlap val="-27"/>
        <c:axId val="1112956799"/>
        <c:axId val="1112954399"/>
      </c:barChart>
      <c:catAx>
        <c:axId val="111295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954399"/>
        <c:crosses val="autoZero"/>
        <c:auto val="1"/>
        <c:lblAlgn val="ctr"/>
        <c:lblOffset val="100"/>
        <c:noMultiLvlLbl val="0"/>
      </c:catAx>
      <c:valAx>
        <c:axId val="111295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956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[hospitaldataanaysis.xlsx]Sheet2!PivotTable4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Expense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Sheet2!$C$32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Sheet2!$B$33:$B$45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Sheet2!$C$33:$C$45</c:f>
              <c:numCache>
                <c:formatCode>General</c:formatCode>
                <c:ptCount val="12"/>
                <c:pt idx="0">
                  <c:v>173971.54</c:v>
                </c:pt>
                <c:pt idx="1">
                  <c:v>301722.71999999997</c:v>
                </c:pt>
                <c:pt idx="2">
                  <c:v>199247.42</c:v>
                </c:pt>
                <c:pt idx="3">
                  <c:v>88995.93</c:v>
                </c:pt>
                <c:pt idx="4">
                  <c:v>222986.71999999997</c:v>
                </c:pt>
                <c:pt idx="5">
                  <c:v>165926.36000000002</c:v>
                </c:pt>
                <c:pt idx="6">
                  <c:v>211527.13</c:v>
                </c:pt>
                <c:pt idx="7">
                  <c:v>181039.55</c:v>
                </c:pt>
                <c:pt idx="8">
                  <c:v>341284.23</c:v>
                </c:pt>
                <c:pt idx="9">
                  <c:v>158450.68</c:v>
                </c:pt>
                <c:pt idx="10">
                  <c:v>334370.33</c:v>
                </c:pt>
                <c:pt idx="11">
                  <c:v>337788.45000000007</c:v>
                </c:pt>
              </c:numCache>
            </c:numRef>
          </c:val>
          <c:smooth val="0"/>
          <c:extLst>
            <c:ext xmlns:c16="http://schemas.microsoft.com/office/drawing/2014/chart" uri="{C3380CC4-5D6E-409C-BE32-E72D297353CC}">
              <c16:uniqueId val="{00000000-4839-4061-8E79-BBEF66C0BCFF}"/>
            </c:ext>
          </c:extLst>
        </c:ser>
        <c:dLbls>
          <c:dLblPos val="t"/>
          <c:showLegendKey val="0"/>
          <c:showVal val="1"/>
          <c:showCatName val="0"/>
          <c:showSerName val="0"/>
          <c:showPercent val="0"/>
          <c:showBubbleSize val="0"/>
        </c:dLbls>
        <c:smooth val="0"/>
        <c:axId val="1112942879"/>
        <c:axId val="1112947679"/>
      </c:lineChart>
      <c:catAx>
        <c:axId val="1112942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947679"/>
        <c:crosses val="autoZero"/>
        <c:auto val="1"/>
        <c:lblAlgn val="ctr"/>
        <c:lblOffset val="100"/>
        <c:noMultiLvlLbl val="0"/>
      </c:catAx>
      <c:valAx>
        <c:axId val="1112947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Monthly</a:t>
                </a:r>
                <a:r>
                  <a:rPr lang="en-IN" baseline="0"/>
                  <a:t> Expenses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94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[hospitaldataanaysis.xlsx]Sheet2!PivotTable5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Patients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Sheet2!$R$3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Sheet2!$Q$4:$Q$14</c:f>
              <c:strCache>
                <c:ptCount val="10"/>
                <c:pt idx="0">
                  <c:v>Cardiology</c:v>
                </c:pt>
                <c:pt idx="1">
                  <c:v>Dermatology</c:v>
                </c:pt>
                <c:pt idx="2">
                  <c:v>ENT</c:v>
                </c:pt>
                <c:pt idx="3">
                  <c:v>General Medicine</c:v>
                </c:pt>
                <c:pt idx="4">
                  <c:v>Gynecology</c:v>
                </c:pt>
                <c:pt idx="5">
                  <c:v>Neurology</c:v>
                </c:pt>
                <c:pt idx="6">
                  <c:v>Oncology</c:v>
                </c:pt>
                <c:pt idx="7">
                  <c:v>Orthopedics</c:v>
                </c:pt>
                <c:pt idx="8">
                  <c:v>Pediatrics</c:v>
                </c:pt>
                <c:pt idx="9">
                  <c:v>Urology</c:v>
                </c:pt>
              </c:strCache>
            </c:strRef>
          </c:cat>
          <c:val>
            <c:numRef>
              <c:f>Sheet2!$R$4:$R$14</c:f>
              <c:numCache>
                <c:formatCode>General</c:formatCode>
                <c:ptCount val="10"/>
                <c:pt idx="0">
                  <c:v>544</c:v>
                </c:pt>
                <c:pt idx="1">
                  <c:v>978</c:v>
                </c:pt>
                <c:pt idx="2">
                  <c:v>1064</c:v>
                </c:pt>
                <c:pt idx="3">
                  <c:v>563</c:v>
                </c:pt>
                <c:pt idx="4">
                  <c:v>678</c:v>
                </c:pt>
                <c:pt idx="5">
                  <c:v>1229</c:v>
                </c:pt>
                <c:pt idx="6">
                  <c:v>770</c:v>
                </c:pt>
                <c:pt idx="7">
                  <c:v>762</c:v>
                </c:pt>
                <c:pt idx="8">
                  <c:v>993</c:v>
                </c:pt>
                <c:pt idx="9">
                  <c:v>1766</c:v>
                </c:pt>
              </c:numCache>
            </c:numRef>
          </c:val>
          <c:extLst>
            <c:ext xmlns:c16="http://schemas.microsoft.com/office/drawing/2014/chart" uri="{C3380CC4-5D6E-409C-BE32-E72D297353CC}">
              <c16:uniqueId val="{00000000-6020-4BDA-AA73-88FEF611688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[hospitaldataanaysis.xlsx]Sheet2!PivotTable6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Sheet2!$R$18</c:f>
              <c:strCache>
                <c:ptCount val="1"/>
                <c:pt idx="0">
                  <c:v>Total</c:v>
                </c:pt>
              </c:strCache>
            </c:strRef>
          </c:tx>
          <c:spPr>
            <a:solidFill>
              <a:schemeClr val="accent1"/>
            </a:solidFill>
            <a:ln>
              <a:noFill/>
            </a:ln>
            <a:effectLst/>
          </c:spPr>
          <c:invertIfNegative val="0"/>
          <c:cat>
            <c:strRef>
              <c:f>Sheet2!$Q$19:$Q$29</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Sheet2!$R$19:$R$29</c:f>
              <c:numCache>
                <c:formatCode>General</c:formatCode>
                <c:ptCount val="10"/>
                <c:pt idx="0">
                  <c:v>523939.12</c:v>
                </c:pt>
                <c:pt idx="1">
                  <c:v>224814.8</c:v>
                </c:pt>
                <c:pt idx="2">
                  <c:v>269218.94</c:v>
                </c:pt>
                <c:pt idx="3">
                  <c:v>197037.91999999998</c:v>
                </c:pt>
                <c:pt idx="4">
                  <c:v>237268.53999999998</c:v>
                </c:pt>
                <c:pt idx="5">
                  <c:v>438315.39</c:v>
                </c:pt>
                <c:pt idx="6">
                  <c:v>163356.59</c:v>
                </c:pt>
                <c:pt idx="7">
                  <c:v>243717.09</c:v>
                </c:pt>
                <c:pt idx="8">
                  <c:v>163971.52000000002</c:v>
                </c:pt>
                <c:pt idx="9">
                  <c:v>255671.15</c:v>
                </c:pt>
              </c:numCache>
            </c:numRef>
          </c:val>
          <c:extLst>
            <c:ext xmlns:c16="http://schemas.microsoft.com/office/drawing/2014/chart" uri="{C3380CC4-5D6E-409C-BE32-E72D297353CC}">
              <c16:uniqueId val="{00000000-313F-414A-A0E7-9C7394BA3353}"/>
            </c:ext>
          </c:extLst>
        </c:ser>
        <c:dLbls>
          <c:showLegendKey val="0"/>
          <c:showVal val="0"/>
          <c:showCatName val="0"/>
          <c:showSerName val="0"/>
          <c:showPercent val="0"/>
          <c:showBubbleSize val="0"/>
        </c:dLbls>
        <c:gapWidth val="219"/>
        <c:overlap val="-27"/>
        <c:axId val="1230505791"/>
        <c:axId val="1230510111"/>
      </c:barChart>
      <c:catAx>
        <c:axId val="123050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510111"/>
        <c:crosses val="autoZero"/>
        <c:auto val="1"/>
        <c:lblAlgn val="ctr"/>
        <c:lblOffset val="100"/>
        <c:noMultiLvlLbl val="0"/>
      </c:catAx>
      <c:valAx>
        <c:axId val="123051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5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[hospitaldataanaysis.xlsx]Sheet2!PivotTable8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Departmentwise Doctors Vs Patients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Sheet2!$Q$33</c:f>
              <c:strCache>
                <c:ptCount val="1"/>
                <c:pt idx="0">
                  <c:v>Doctors_Count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Sheet2!$Q$34</c:f>
              <c:strCache>
                <c:ptCount val="1"/>
                <c:pt idx="0">
                  <c:v>Total</c:v>
                </c:pt>
              </c:strCache>
            </c:strRef>
          </c:cat>
          <c:val>
            <c:numRef>
              <c:f>Sheet2!$Q$34</c:f>
              <c:numCache>
                <c:formatCode>General</c:formatCode>
                <c:ptCount val="1"/>
                <c:pt idx="0">
                  <c:v>2671</c:v>
                </c:pt>
              </c:numCache>
            </c:numRef>
          </c:val>
          <c:extLst>
            <c:ext xmlns:c16="http://schemas.microsoft.com/office/drawing/2014/chart" uri="{C3380CC4-5D6E-409C-BE32-E72D297353CC}">
              <c16:uniqueId val="{00000000-D33B-48AD-9B98-F09408067A1F}"/>
            </c:ext>
          </c:extLst>
        </c:ser>
        <c:ser>
          <c:idx val="1"/>
          <c:order val="1"/>
          <c:tx>
            <c:strRef>
              <c:f>Sheet2!$R$33</c:f>
              <c:strCache>
                <c:ptCount val="1"/>
                <c:pt idx="0">
                  <c:v>Patients_Count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Sheet2!$Q$34</c:f>
              <c:strCache>
                <c:ptCount val="1"/>
                <c:pt idx="0">
                  <c:v>Total</c:v>
                </c:pt>
              </c:strCache>
            </c:strRef>
          </c:cat>
          <c:val>
            <c:numRef>
              <c:f>Sheet2!$R$34</c:f>
              <c:numCache>
                <c:formatCode>General</c:formatCode>
                <c:ptCount val="1"/>
                <c:pt idx="0">
                  <c:v>9347</c:v>
                </c:pt>
              </c:numCache>
            </c:numRef>
          </c:val>
          <c:extLst>
            <c:ext xmlns:c16="http://schemas.microsoft.com/office/drawing/2014/chart" uri="{C3380CC4-5D6E-409C-BE32-E72D297353CC}">
              <c16:uniqueId val="{00000002-D33B-48AD-9B98-F09408067A1F}"/>
            </c:ext>
          </c:extLst>
        </c:ser>
        <c:dLbls>
          <c:dLblPos val="ctr"/>
          <c:showLegendKey val="0"/>
          <c:showVal val="1"/>
          <c:showCatName val="0"/>
          <c:showSerName val="0"/>
          <c:showPercent val="0"/>
          <c:showBubbleSize val="0"/>
        </c:dLbls>
        <c:gapWidth val="150"/>
        <c:overlap val="100"/>
        <c:axId val="1230525951"/>
        <c:axId val="1230542751"/>
      </c:barChart>
      <c:catAx>
        <c:axId val="1230525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542751"/>
        <c:crosses val="autoZero"/>
        <c:auto val="1"/>
        <c:lblAlgn val="ctr"/>
        <c:lblOffset val="100"/>
        <c:noMultiLvlLbl val="0"/>
      </c:catAx>
      <c:valAx>
        <c:axId val="1230542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525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78738</xdr:colOff>
      <xdr:row>19</xdr:row>
      <xdr:rowOff>34834</xdr:rowOff>
    </xdr:from>
    <xdr:to>
      <xdr:col>15</xdr:col>
      <xdr:colOff>33867</xdr:colOff>
      <xdr:row>29</xdr:row>
      <xdr:rowOff>76200</xdr:rowOff>
    </xdr:to>
    <xdr:graphicFrame macro="">
      <xdr:nvGraphicFramePr>
        <xdr:cNvPr id="3" name="Chart 2">
          <a:extLst>
            <a:ext uri="{FF2B5EF4-FFF2-40B4-BE49-F238E27FC236}">
              <a16:creationId xmlns:a16="http://schemas.microsoft.com/office/drawing/2014/main" id="{4EAA33AA-E0FB-4C9C-B6D3-6246C2769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76202</xdr:colOff>
      <xdr:row>19</xdr:row>
      <xdr:rowOff>33867</xdr:rowOff>
    </xdr:from>
    <xdr:to>
      <xdr:col>28</xdr:col>
      <xdr:colOff>474136</xdr:colOff>
      <xdr:row>29</xdr:row>
      <xdr:rowOff>71968</xdr:rowOff>
    </xdr:to>
    <xdr:graphicFrame macro="">
      <xdr:nvGraphicFramePr>
        <xdr:cNvPr id="4" name="Chart 3">
          <a:extLst>
            <a:ext uri="{FF2B5EF4-FFF2-40B4-BE49-F238E27FC236}">
              <a16:creationId xmlns:a16="http://schemas.microsoft.com/office/drawing/2014/main" id="{1F044038-9197-4474-B74C-81255A31C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xdr:colOff>
      <xdr:row>6</xdr:row>
      <xdr:rowOff>101600</xdr:rowOff>
    </xdr:from>
    <xdr:to>
      <xdr:col>17</xdr:col>
      <xdr:colOff>228601</xdr:colOff>
      <xdr:row>18</xdr:row>
      <xdr:rowOff>173569</xdr:rowOff>
    </xdr:to>
    <xdr:graphicFrame macro="">
      <xdr:nvGraphicFramePr>
        <xdr:cNvPr id="5" name="Chart 4">
          <a:extLst>
            <a:ext uri="{FF2B5EF4-FFF2-40B4-BE49-F238E27FC236}">
              <a16:creationId xmlns:a16="http://schemas.microsoft.com/office/drawing/2014/main" id="{4E2E7A9F-E681-43B7-B513-6E6B4AD57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33869</xdr:colOff>
      <xdr:row>6</xdr:row>
      <xdr:rowOff>93133</xdr:rowOff>
    </xdr:from>
    <xdr:to>
      <xdr:col>28</xdr:col>
      <xdr:colOff>467785</xdr:colOff>
      <xdr:row>18</xdr:row>
      <xdr:rowOff>171449</xdr:rowOff>
    </xdr:to>
    <xdr:graphicFrame macro="">
      <xdr:nvGraphicFramePr>
        <xdr:cNvPr id="6" name="Chart 5">
          <a:extLst>
            <a:ext uri="{FF2B5EF4-FFF2-40B4-BE49-F238E27FC236}">
              <a16:creationId xmlns:a16="http://schemas.microsoft.com/office/drawing/2014/main" id="{CE73CAE4-3FE3-462D-A67D-6E73C8460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86362</xdr:colOff>
      <xdr:row>6</xdr:row>
      <xdr:rowOff>109822</xdr:rowOff>
    </xdr:from>
    <xdr:to>
      <xdr:col>8</xdr:col>
      <xdr:colOff>567267</xdr:colOff>
      <xdr:row>18</xdr:row>
      <xdr:rowOff>160866</xdr:rowOff>
    </xdr:to>
    <xdr:graphicFrame macro="">
      <xdr:nvGraphicFramePr>
        <xdr:cNvPr id="7" name="Chart 6">
          <a:extLst>
            <a:ext uri="{FF2B5EF4-FFF2-40B4-BE49-F238E27FC236}">
              <a16:creationId xmlns:a16="http://schemas.microsoft.com/office/drawing/2014/main" id="{9D4EC203-EB0C-4D9D-BFDF-1408D49D5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364067</xdr:colOff>
      <xdr:row>1</xdr:row>
      <xdr:rowOff>177798</xdr:rowOff>
    </xdr:from>
    <xdr:to>
      <xdr:col>23</xdr:col>
      <xdr:colOff>378457</xdr:colOff>
      <xdr:row>6</xdr:row>
      <xdr:rowOff>24551</xdr:rowOff>
    </xdr:to>
    <mc:AlternateContent xmlns:mc="http://schemas.openxmlformats.org/markup-compatibility/2006">
      <mc:Choice xmlns:a14="http://schemas.microsoft.com/office/drawing/2010/main" Requires="a14">
        <xdr:graphicFrame macro="">
          <xdr:nvGraphicFramePr>
            <xdr:cNvPr id="8" name="Location">
              <a:extLst>
                <a:ext uri="{FF2B5EF4-FFF2-40B4-BE49-F238E27FC236}">
                  <a16:creationId xmlns:a16="http://schemas.microsoft.com/office/drawing/2014/main" id="{C258026A-8E81-5057-82EF-FCF87606E35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0338561" y="211960"/>
              <a:ext cx="1564076" cy="1036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423332</xdr:colOff>
      <xdr:row>1</xdr:row>
      <xdr:rowOff>166792</xdr:rowOff>
    </xdr:from>
    <xdr:to>
      <xdr:col>26</xdr:col>
      <xdr:colOff>28783</xdr:colOff>
      <xdr:row>6</xdr:row>
      <xdr:rowOff>23705</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76B6C472-032E-8A82-5AA3-AA9918AF4FE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947512" y="208574"/>
              <a:ext cx="1454799" cy="1039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76199</xdr:colOff>
      <xdr:row>1</xdr:row>
      <xdr:rowOff>159173</xdr:rowOff>
    </xdr:from>
    <xdr:to>
      <xdr:col>28</xdr:col>
      <xdr:colOff>469897</xdr:colOff>
      <xdr:row>6</xdr:row>
      <xdr:rowOff>14393</xdr:rowOff>
    </xdr:to>
    <mc:AlternateContent xmlns:mc="http://schemas.openxmlformats.org/markup-compatibility/2006">
      <mc:Choice xmlns:a14="http://schemas.microsoft.com/office/drawing/2010/main" Requires="a14">
        <xdr:graphicFrame macro="">
          <xdr:nvGraphicFramePr>
            <xdr:cNvPr id="10" name="Hospital Name">
              <a:extLst>
                <a:ext uri="{FF2B5EF4-FFF2-40B4-BE49-F238E27FC236}">
                  <a16:creationId xmlns:a16="http://schemas.microsoft.com/office/drawing/2014/main" id="{5A8E5766-84D4-A200-8132-9A7CA246088D}"/>
                </a:ext>
              </a:extLst>
            </xdr:cNvPr>
            <xdr:cNvGraphicFramePr/>
          </xdr:nvGraphicFramePr>
          <xdr:xfrm>
            <a:off x="0" y="0"/>
            <a:ext cx="0" cy="0"/>
          </xdr:xfrm>
          <a:graphic>
            <a:graphicData uri="http://schemas.microsoft.com/office/drawing/2010/slicer">
              <sle:slicer xmlns:sle="http://schemas.microsoft.com/office/drawing/2010/slicer" name="Hospital Name"/>
            </a:graphicData>
          </a:graphic>
        </xdr:graphicFrame>
      </mc:Choice>
      <mc:Fallback>
        <xdr:sp macro="" textlink="">
          <xdr:nvSpPr>
            <xdr:cNvPr id="0" name=""/>
            <xdr:cNvSpPr>
              <a:spLocks noTextEdit="1"/>
            </xdr:cNvSpPr>
          </xdr:nvSpPr>
          <xdr:spPr>
            <a:xfrm>
              <a:off x="13449727" y="208575"/>
              <a:ext cx="1626597" cy="1030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182880</xdr:colOff>
      <xdr:row>0</xdr:row>
      <xdr:rowOff>80010</xdr:rowOff>
    </xdr:from>
    <xdr:to>
      <xdr:col>14</xdr:col>
      <xdr:colOff>160020</xdr:colOff>
      <xdr:row>15</xdr:row>
      <xdr:rowOff>80010</xdr:rowOff>
    </xdr:to>
    <xdr:graphicFrame macro="">
      <xdr:nvGraphicFramePr>
        <xdr:cNvPr id="2" name="Chart 1">
          <a:extLst>
            <a:ext uri="{FF2B5EF4-FFF2-40B4-BE49-F238E27FC236}">
              <a16:creationId xmlns:a16="http://schemas.microsoft.com/office/drawing/2014/main" id="{5B0FE7A4-103F-FAD1-2D60-CF7513CDE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175260</xdr:colOff>
      <xdr:row>16</xdr:row>
      <xdr:rowOff>3810</xdr:rowOff>
    </xdr:from>
    <xdr:to>
      <xdr:col>14</xdr:col>
      <xdr:colOff>144780</xdr:colOff>
      <xdr:row>28</xdr:row>
      <xdr:rowOff>45720</xdr:rowOff>
    </xdr:to>
    <xdr:graphicFrame macro="">
      <xdr:nvGraphicFramePr>
        <xdr:cNvPr id="3" name="Chart 2">
          <a:extLst>
            <a:ext uri="{FF2B5EF4-FFF2-40B4-BE49-F238E27FC236}">
              <a16:creationId xmlns:a16="http://schemas.microsoft.com/office/drawing/2014/main" id="{0A53AC2D-93F8-BEFF-5E75-E8ECC2DAB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182880</xdr:colOff>
      <xdr:row>31</xdr:row>
      <xdr:rowOff>19050</xdr:rowOff>
    </xdr:from>
    <xdr:to>
      <xdr:col>14</xdr:col>
      <xdr:colOff>160020</xdr:colOff>
      <xdr:row>46</xdr:row>
      <xdr:rowOff>19050</xdr:rowOff>
    </xdr:to>
    <xdr:graphicFrame macro="">
      <xdr:nvGraphicFramePr>
        <xdr:cNvPr id="5" name="Chart 4">
          <a:extLst>
            <a:ext uri="{FF2B5EF4-FFF2-40B4-BE49-F238E27FC236}">
              <a16:creationId xmlns:a16="http://schemas.microsoft.com/office/drawing/2014/main" id="{28BD828F-AD7B-144D-FA7E-F5F67DB38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190500</xdr:colOff>
      <xdr:row>0</xdr:row>
      <xdr:rowOff>125730</xdr:rowOff>
    </xdr:from>
    <xdr:to>
      <xdr:col>25</xdr:col>
      <xdr:colOff>495300</xdr:colOff>
      <xdr:row>15</xdr:row>
      <xdr:rowOff>125730</xdr:rowOff>
    </xdr:to>
    <xdr:graphicFrame macro="">
      <xdr:nvGraphicFramePr>
        <xdr:cNvPr id="6" name="Chart 5">
          <a:extLst>
            <a:ext uri="{FF2B5EF4-FFF2-40B4-BE49-F238E27FC236}">
              <a16:creationId xmlns:a16="http://schemas.microsoft.com/office/drawing/2014/main" id="{2F89C336-A6EA-C3B4-945A-0D57D514B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190500</xdr:colOff>
      <xdr:row>15</xdr:row>
      <xdr:rowOff>179070</xdr:rowOff>
    </xdr:from>
    <xdr:to>
      <xdr:col>28</xdr:col>
      <xdr:colOff>426720</xdr:colOff>
      <xdr:row>30</xdr:row>
      <xdr:rowOff>179070</xdr:rowOff>
    </xdr:to>
    <xdr:graphicFrame macro="">
      <xdr:nvGraphicFramePr>
        <xdr:cNvPr id="7" name="Chart 6">
          <a:extLst>
            <a:ext uri="{FF2B5EF4-FFF2-40B4-BE49-F238E27FC236}">
              <a16:creationId xmlns:a16="http://schemas.microsoft.com/office/drawing/2014/main" id="{3C62A92B-90D7-56D3-DD85-2B0EAA4EC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91440</xdr:colOff>
      <xdr:row>31</xdr:row>
      <xdr:rowOff>19050</xdr:rowOff>
    </xdr:from>
    <xdr:to>
      <xdr:col>28</xdr:col>
      <xdr:colOff>784860</xdr:colOff>
      <xdr:row>46</xdr:row>
      <xdr:rowOff>19050</xdr:rowOff>
    </xdr:to>
    <xdr:graphicFrame macro="">
      <xdr:nvGraphicFramePr>
        <xdr:cNvPr id="9" name="Chart 8">
          <a:extLst>
            <a:ext uri="{FF2B5EF4-FFF2-40B4-BE49-F238E27FC236}">
              <a16:creationId xmlns:a16="http://schemas.microsoft.com/office/drawing/2014/main" id="{FCA5B30E-DDBB-17FA-2AE6-CCA9563AC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ima kour" refreshedDate="46161.573535069445" createdVersion="8" refreshedVersion="8" minRefreshableVersion="3" recordCount="100" xr:uid="{92215428-3F77-41ED-B4D9-19DF5F6A91F7}">
  <cacheSource type="worksheet">
    <worksheetSource name="HospitalData"/>
  </cacheSource>
  <cacheFields count="11">
    <cacheField name="Hospital Name" numFmtId="0">
      <sharedItems count="10">
        <s v="Wellness Clinic"/>
        <s v="Fortis Care"/>
        <s v="Heritage Hospital"/>
        <s v="City Hospital"/>
        <s v="Global Medicare"/>
        <s v="Apollo Health"/>
        <s v="Green Valley Hospital"/>
        <s v="Healing Touch"/>
        <s v="Sunrise Medical"/>
        <s v="Metro Hospital"/>
      </sharedItems>
    </cacheField>
    <cacheField name="Location" numFmtId="0">
      <sharedItems count="10">
        <s v="Chennai"/>
        <s v="Pune"/>
        <s v="Ahmedabad"/>
        <s v="Hyderabad"/>
        <s v="Kolkata"/>
        <s v="Jaipur"/>
        <s v="Mumbai"/>
        <s v="Lucknow"/>
        <s v="Delhi"/>
        <s v="Bangalore"/>
      </sharedItems>
    </cacheField>
    <cacheField name="Department" numFmtId="0">
      <sharedItems count="10">
        <s v="Orthopedics"/>
        <s v="ENT"/>
        <s v="Pediatrics"/>
        <s v="Urology"/>
        <s v="Gynecology"/>
        <s v="Oncology"/>
        <s v="General Medicine"/>
        <s v="Dermatology"/>
        <s v="Cardiology"/>
        <s v="Neurology"/>
      </sharedItems>
    </cacheField>
    <cacheField name="Doctors Count" numFmtId="0">
      <sharedItems containsSemiMixedTypes="0" containsString="0" containsNumber="1" containsInteger="1" minValue="5" maxValue="49"/>
    </cacheField>
    <cacheField name="Patients Count" numFmtId="0">
      <sharedItems containsSemiMixedTypes="0" containsString="0" containsNumber="1" containsInteger="1" minValue="20" maxValue="198"/>
    </cacheField>
    <cacheField name="Admission Date" numFmtId="14">
      <sharedItems containsSemiMixedTypes="0" containsNonDate="0" containsDate="1" containsString="0" minDate="2023-01-11T00:00:00" maxDate="2023-12-31T00:00:00" count="86">
        <d v="2023-12-13T00:00:00"/>
        <d v="2023-12-29T00:00:00"/>
        <d v="2023-10-07T00:00:00"/>
        <d v="2023-04-29T00:00:00"/>
        <d v="2023-02-10T00:00:00"/>
        <d v="2023-02-05T00:00:00"/>
        <d v="2023-08-01T00:00:00"/>
        <d v="2023-10-01T00:00:00"/>
        <d v="2023-06-12T00:00:00"/>
        <d v="2023-12-07T00:00:00"/>
        <d v="2023-09-13T00:00:00"/>
        <d v="2023-03-12T00:00:00"/>
        <d v="2023-11-18T00:00:00"/>
        <d v="2023-09-18T00:00:00"/>
        <d v="2023-08-06T00:00:00"/>
        <d v="2023-06-27T00:00:00"/>
        <d v="2023-03-22T00:00:00"/>
        <d v="2023-11-11T00:00:00"/>
        <d v="2023-11-05T00:00:00"/>
        <d v="2023-02-14T00:00:00"/>
        <d v="2023-10-06T00:00:00"/>
        <d v="2023-04-08T00:00:00"/>
        <d v="2023-10-28T00:00:00"/>
        <d v="2023-03-25T00:00:00"/>
        <d v="2023-02-24T00:00:00"/>
        <d v="2023-11-09T00:00:00"/>
        <d v="2023-04-06T00:00:00"/>
        <d v="2023-05-05T00:00:00"/>
        <d v="2023-09-25T00:00:00"/>
        <d v="2023-05-12T00:00:00"/>
        <d v="2023-09-19T00:00:00"/>
        <d v="2023-08-21T00:00:00"/>
        <d v="2023-07-01T00:00:00"/>
        <d v="2023-06-07T00:00:00"/>
        <d v="2023-02-13T00:00:00"/>
        <d v="2023-01-20T00:00:00"/>
        <d v="2023-10-23T00:00:00"/>
        <d v="2023-05-27T00:00:00"/>
        <d v="2023-12-16T00:00:00"/>
        <d v="2023-06-09T00:00:00"/>
        <d v="2023-09-10T00:00:00"/>
        <d v="2023-11-13T00:00:00"/>
        <d v="2023-05-15T00:00:00"/>
        <d v="2023-07-10T00:00:00"/>
        <d v="2023-03-26T00:00:00"/>
        <d v="2023-11-10T00:00:00"/>
        <d v="2023-08-13T00:00:00"/>
        <d v="2023-03-29T00:00:00"/>
        <d v="2023-06-21T00:00:00"/>
        <d v="2023-12-30T00:00:00"/>
        <d v="2023-01-18T00:00:00"/>
        <d v="2023-02-07T00:00:00"/>
        <d v="2023-06-23T00:00:00"/>
        <d v="2023-05-17T00:00:00"/>
        <d v="2023-12-28T00:00:00"/>
        <d v="2023-06-22T00:00:00"/>
        <d v="2023-06-06T00:00:00"/>
        <d v="2023-07-28T00:00:00"/>
        <d v="2023-07-20T00:00:00"/>
        <d v="2023-12-17T00:00:00"/>
        <d v="2023-02-08T00:00:00"/>
        <d v="2023-08-09T00:00:00"/>
        <d v="2023-03-31T00:00:00"/>
        <d v="2023-10-22T00:00:00"/>
        <d v="2023-02-20T00:00:00"/>
        <d v="2023-09-21T00:00:00"/>
        <d v="2023-08-02T00:00:00"/>
        <d v="2023-01-11T00:00:00"/>
        <d v="2023-09-04T00:00:00"/>
        <d v="2023-08-18T00:00:00"/>
        <d v="2023-05-01T00:00:00"/>
        <d v="2023-01-16T00:00:00"/>
        <d v="2023-02-04T00:00:00"/>
        <d v="2023-06-30T00:00:00"/>
        <d v="2023-11-14T00:00:00"/>
        <d v="2023-10-16T00:00:00"/>
        <d v="2023-04-17T00:00:00"/>
        <d v="2023-07-11T00:00:00"/>
        <d v="2023-09-29T00:00:00"/>
        <d v="2023-01-27T00:00:00"/>
        <d v="2023-03-07T00:00:00"/>
        <d v="2023-11-29T00:00:00"/>
        <d v="2023-02-18T00:00:00"/>
        <d v="2023-11-01T00:00:00"/>
        <d v="2023-05-19T00:00:00"/>
        <d v="2023-12-09T00:00:00"/>
      </sharedItems>
      <fieldGroup par="10"/>
    </cacheField>
    <cacheField name="Discharge Date" numFmtId="14">
      <sharedItems containsSemiMixedTypes="0" containsNonDate="0" containsDate="1" containsString="0" minDate="2023-01-25T00:00:00" maxDate="2024-01-14T00:00:00"/>
    </cacheField>
    <cacheField name=" Medical Expenses " numFmtId="0">
      <sharedItems containsSemiMixedTypes="0" containsString="0" containsNumber="1" minValue="2854.22" maxValue="49955.41"/>
    </cacheField>
    <cacheField name="No of Days stayed" numFmtId="0">
      <sharedItems containsSemiMixedTypes="0" containsString="0" containsNumber="1" containsInteger="1" minValue="1" maxValue="15"/>
    </cacheField>
    <cacheField name="Days (Admission Date)" numFmtId="0" databaseField="0">
      <fieldGroup base="5">
        <rangePr groupBy="days" startDate="2023-01-11T00:00:00" endDate="2023-12-31T00:00:00"/>
        <groupItems count="368">
          <s v="&lt;1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Months (Admission Date)" numFmtId="0" databaseField="0">
      <fieldGroup base="5">
        <rangePr groupBy="months" startDate="2023-01-11T00:00:00" endDate="2023-12-31T00:00:00"/>
        <groupItems count="14">
          <s v="&lt;11-01-2023"/>
          <s v="Jan"/>
          <s v="Feb"/>
          <s v="Mar"/>
          <s v="Apr"/>
          <s v="May"/>
          <s v="Jun"/>
          <s v="Jul"/>
          <s v="Aug"/>
          <s v="Sep"/>
          <s v="Oct"/>
          <s v="Nov"/>
          <s v="Dec"/>
          <s v="&gt;31-12-2023"/>
        </groupItems>
      </fieldGroup>
    </cacheField>
  </cacheFields>
  <extLst>
    <ext xmlns:x14="http://schemas.microsoft.com/office/spreadsheetml/2009/9/main" uri="{725AE2AE-9491-48be-B2B4-4EB974FC3084}">
      <x14:pivotCacheDefinition pivotCacheId="1092674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47"/>
    <n v="182"/>
    <x v="0"/>
    <d v="2023-12-14T00:00:00"/>
    <n v="31364.880000000001"/>
    <n v="1"/>
  </r>
  <r>
    <x v="1"/>
    <x v="1"/>
    <x v="1"/>
    <n v="15"/>
    <n v="51"/>
    <x v="1"/>
    <d v="2024-01-09T00:00:00"/>
    <n v="47280.19"/>
    <n v="11"/>
  </r>
  <r>
    <x v="0"/>
    <x v="2"/>
    <x v="2"/>
    <n v="20"/>
    <n v="120"/>
    <x v="2"/>
    <d v="2023-10-21T00:00:00"/>
    <n v="28574.720000000001"/>
    <n v="14"/>
  </r>
  <r>
    <x v="2"/>
    <x v="3"/>
    <x v="3"/>
    <n v="8"/>
    <n v="172"/>
    <x v="3"/>
    <d v="2023-05-11T00:00:00"/>
    <n v="7000.83"/>
    <n v="12"/>
  </r>
  <r>
    <x v="3"/>
    <x v="4"/>
    <x v="4"/>
    <n v="35"/>
    <n v="76"/>
    <x v="4"/>
    <d v="2023-02-12T00:00:00"/>
    <n v="47210.46"/>
    <n v="2"/>
  </r>
  <r>
    <x v="2"/>
    <x v="3"/>
    <x v="5"/>
    <n v="11"/>
    <n v="76"/>
    <x v="5"/>
    <d v="2023-02-17T00:00:00"/>
    <n v="18612.34"/>
    <n v="12"/>
  </r>
  <r>
    <x v="4"/>
    <x v="2"/>
    <x v="5"/>
    <n v="22"/>
    <n v="99"/>
    <x v="6"/>
    <d v="2023-08-06T00:00:00"/>
    <n v="47808.55"/>
    <n v="5"/>
  </r>
  <r>
    <x v="5"/>
    <x v="5"/>
    <x v="6"/>
    <n v="37"/>
    <n v="173"/>
    <x v="7"/>
    <d v="2023-10-12T00:00:00"/>
    <n v="12284.65"/>
    <n v="11"/>
  </r>
  <r>
    <x v="2"/>
    <x v="5"/>
    <x v="1"/>
    <n v="9"/>
    <n v="198"/>
    <x v="8"/>
    <d v="2023-06-18T00:00:00"/>
    <n v="14650.23"/>
    <n v="6"/>
  </r>
  <r>
    <x v="6"/>
    <x v="1"/>
    <x v="2"/>
    <n v="30"/>
    <n v="107"/>
    <x v="9"/>
    <d v="2023-12-08T00:00:00"/>
    <n v="30006.959999999999"/>
    <n v="1"/>
  </r>
  <r>
    <x v="7"/>
    <x v="6"/>
    <x v="7"/>
    <n v="39"/>
    <n v="70"/>
    <x v="10"/>
    <d v="2023-09-15T00:00:00"/>
    <n v="13282.51"/>
    <n v="2"/>
  </r>
  <r>
    <x v="1"/>
    <x v="5"/>
    <x v="3"/>
    <n v="22"/>
    <n v="38"/>
    <x v="11"/>
    <d v="2023-03-25T00:00:00"/>
    <n v="13481.9"/>
    <n v="13"/>
  </r>
  <r>
    <x v="3"/>
    <x v="7"/>
    <x v="8"/>
    <n v="32"/>
    <n v="67"/>
    <x v="12"/>
    <d v="2023-11-24T00:00:00"/>
    <n v="36748.42"/>
    <n v="6"/>
  </r>
  <r>
    <x v="1"/>
    <x v="5"/>
    <x v="0"/>
    <n v="27"/>
    <n v="60"/>
    <x v="13"/>
    <d v="2023-09-24T00:00:00"/>
    <n v="37056.51"/>
    <n v="6"/>
  </r>
  <r>
    <x v="8"/>
    <x v="2"/>
    <x v="4"/>
    <n v="48"/>
    <n v="37"/>
    <x v="14"/>
    <d v="2023-08-11T00:00:00"/>
    <n v="15107.89"/>
    <n v="5"/>
  </r>
  <r>
    <x v="7"/>
    <x v="0"/>
    <x v="8"/>
    <n v="17"/>
    <n v="60"/>
    <x v="15"/>
    <d v="2023-06-30T00:00:00"/>
    <n v="9348.5499999999993"/>
    <n v="3"/>
  </r>
  <r>
    <x v="6"/>
    <x v="0"/>
    <x v="2"/>
    <n v="40"/>
    <n v="96"/>
    <x v="16"/>
    <d v="2023-03-28T00:00:00"/>
    <n v="48548.44"/>
    <n v="6"/>
  </r>
  <r>
    <x v="7"/>
    <x v="2"/>
    <x v="9"/>
    <n v="14"/>
    <n v="68"/>
    <x v="17"/>
    <d v="2023-11-22T00:00:00"/>
    <n v="29942.75"/>
    <n v="11"/>
  </r>
  <r>
    <x v="5"/>
    <x v="8"/>
    <x v="3"/>
    <n v="41"/>
    <n v="111"/>
    <x v="18"/>
    <d v="2023-11-08T00:00:00"/>
    <n v="43367.53"/>
    <n v="3"/>
  </r>
  <r>
    <x v="1"/>
    <x v="6"/>
    <x v="3"/>
    <n v="46"/>
    <n v="154"/>
    <x v="19"/>
    <d v="2023-02-18T00:00:00"/>
    <n v="41367.1"/>
    <n v="4"/>
  </r>
  <r>
    <x v="9"/>
    <x v="9"/>
    <x v="7"/>
    <n v="7"/>
    <n v="68"/>
    <x v="20"/>
    <d v="2023-10-07T00:00:00"/>
    <n v="30136.26"/>
    <n v="1"/>
  </r>
  <r>
    <x v="5"/>
    <x v="3"/>
    <x v="7"/>
    <n v="28"/>
    <n v="191"/>
    <x v="21"/>
    <d v="2023-04-22T00:00:00"/>
    <n v="17698.490000000002"/>
    <n v="14"/>
  </r>
  <r>
    <x v="1"/>
    <x v="2"/>
    <x v="5"/>
    <n v="32"/>
    <n v="116"/>
    <x v="22"/>
    <d v="2023-10-30T00:00:00"/>
    <n v="40799.019999999997"/>
    <n v="2"/>
  </r>
  <r>
    <x v="5"/>
    <x v="3"/>
    <x v="0"/>
    <n v="5"/>
    <n v="79"/>
    <x v="23"/>
    <d v="2023-03-29T00:00:00"/>
    <n v="20952.509999999998"/>
    <n v="4"/>
  </r>
  <r>
    <x v="3"/>
    <x v="7"/>
    <x v="5"/>
    <n v="48"/>
    <n v="91"/>
    <x v="24"/>
    <d v="2023-03-04T00:00:00"/>
    <n v="10882.4"/>
    <n v="8"/>
  </r>
  <r>
    <x v="5"/>
    <x v="1"/>
    <x v="1"/>
    <n v="9"/>
    <n v="59"/>
    <x v="25"/>
    <d v="2023-11-16T00:00:00"/>
    <n v="25177.79"/>
    <n v="7"/>
  </r>
  <r>
    <x v="5"/>
    <x v="7"/>
    <x v="1"/>
    <n v="9"/>
    <n v="171"/>
    <x v="26"/>
    <d v="2023-04-21T00:00:00"/>
    <n v="21666.78"/>
    <n v="15"/>
  </r>
  <r>
    <x v="5"/>
    <x v="7"/>
    <x v="7"/>
    <n v="20"/>
    <n v="39"/>
    <x v="27"/>
    <d v="2023-05-10T00:00:00"/>
    <n v="37856.699999999997"/>
    <n v="5"/>
  </r>
  <r>
    <x v="7"/>
    <x v="1"/>
    <x v="8"/>
    <n v="46"/>
    <n v="55"/>
    <x v="28"/>
    <d v="2023-09-29T00:00:00"/>
    <n v="25298.5"/>
    <n v="4"/>
  </r>
  <r>
    <x v="3"/>
    <x v="3"/>
    <x v="7"/>
    <n v="7"/>
    <n v="88"/>
    <x v="29"/>
    <d v="2023-05-21T00:00:00"/>
    <n v="28558.23"/>
    <n v="9"/>
  </r>
  <r>
    <x v="4"/>
    <x v="0"/>
    <x v="7"/>
    <n v="36"/>
    <n v="69"/>
    <x v="30"/>
    <d v="2023-09-20T00:00:00"/>
    <n v="44452.26"/>
    <n v="1"/>
  </r>
  <r>
    <x v="7"/>
    <x v="6"/>
    <x v="9"/>
    <n v="20"/>
    <n v="94"/>
    <x v="31"/>
    <d v="2023-08-28T00:00:00"/>
    <n v="49955.41"/>
    <n v="7"/>
  </r>
  <r>
    <x v="6"/>
    <x v="5"/>
    <x v="7"/>
    <n v="38"/>
    <n v="139"/>
    <x v="32"/>
    <d v="2023-07-15T00:00:00"/>
    <n v="14118.62"/>
    <n v="14"/>
  </r>
  <r>
    <x v="4"/>
    <x v="5"/>
    <x v="3"/>
    <n v="38"/>
    <n v="62"/>
    <x v="33"/>
    <d v="2023-06-17T00:00:00"/>
    <n v="22074.89"/>
    <n v="10"/>
  </r>
  <r>
    <x v="4"/>
    <x v="4"/>
    <x v="0"/>
    <n v="22"/>
    <n v="133"/>
    <x v="34"/>
    <d v="2023-02-28T00:00:00"/>
    <n v="18795.689999999999"/>
    <n v="15"/>
  </r>
  <r>
    <x v="0"/>
    <x v="5"/>
    <x v="9"/>
    <n v="47"/>
    <n v="84"/>
    <x v="35"/>
    <d v="2023-01-26T00:00:00"/>
    <n v="26646.52"/>
    <n v="6"/>
  </r>
  <r>
    <x v="1"/>
    <x v="5"/>
    <x v="5"/>
    <n v="15"/>
    <n v="40"/>
    <x v="36"/>
    <d v="2023-10-26T00:00:00"/>
    <n v="37057.29"/>
    <n v="3"/>
  </r>
  <r>
    <x v="7"/>
    <x v="8"/>
    <x v="6"/>
    <n v="46"/>
    <n v="23"/>
    <x v="37"/>
    <d v="2023-05-29T00:00:00"/>
    <n v="40771.839999999997"/>
    <n v="2"/>
  </r>
  <r>
    <x v="3"/>
    <x v="4"/>
    <x v="3"/>
    <n v="6"/>
    <n v="166"/>
    <x v="38"/>
    <d v="2023-12-25T00:00:00"/>
    <n v="40731.29"/>
    <n v="9"/>
  </r>
  <r>
    <x v="0"/>
    <x v="7"/>
    <x v="3"/>
    <n v="37"/>
    <n v="85"/>
    <x v="39"/>
    <d v="2023-06-16T00:00:00"/>
    <n v="4872.04"/>
    <n v="7"/>
  </r>
  <r>
    <x v="9"/>
    <x v="7"/>
    <x v="9"/>
    <n v="22"/>
    <n v="167"/>
    <x v="1"/>
    <d v="2024-01-10T00:00:00"/>
    <n v="44531.22"/>
    <n v="12"/>
  </r>
  <r>
    <x v="5"/>
    <x v="0"/>
    <x v="1"/>
    <n v="8"/>
    <n v="61"/>
    <x v="40"/>
    <d v="2023-09-15T00:00:00"/>
    <n v="42769.14"/>
    <n v="5"/>
  </r>
  <r>
    <x v="1"/>
    <x v="9"/>
    <x v="4"/>
    <n v="30"/>
    <n v="69"/>
    <x v="41"/>
    <d v="2023-11-26T00:00:00"/>
    <n v="14701.02"/>
    <n v="13"/>
  </r>
  <r>
    <x v="3"/>
    <x v="5"/>
    <x v="4"/>
    <n v="11"/>
    <n v="22"/>
    <x v="42"/>
    <d v="2023-05-18T00:00:00"/>
    <n v="48466.080000000002"/>
    <n v="3"/>
  </r>
  <r>
    <x v="8"/>
    <x v="9"/>
    <x v="1"/>
    <n v="37"/>
    <n v="26"/>
    <x v="43"/>
    <d v="2023-07-24T00:00:00"/>
    <n v="25367.78"/>
    <n v="14"/>
  </r>
  <r>
    <x v="6"/>
    <x v="2"/>
    <x v="7"/>
    <n v="15"/>
    <n v="112"/>
    <x v="44"/>
    <d v="2023-03-28T00:00:00"/>
    <n v="32628.67"/>
    <n v="2"/>
  </r>
  <r>
    <x v="2"/>
    <x v="7"/>
    <x v="3"/>
    <n v="30"/>
    <n v="161"/>
    <x v="45"/>
    <d v="2023-11-25T00:00:00"/>
    <n v="10166.89"/>
    <n v="15"/>
  </r>
  <r>
    <x v="6"/>
    <x v="9"/>
    <x v="2"/>
    <n v="8"/>
    <n v="177"/>
    <x v="46"/>
    <d v="2023-08-17T00:00:00"/>
    <n v="15913.48"/>
    <n v="4"/>
  </r>
  <r>
    <x v="7"/>
    <x v="3"/>
    <x v="2"/>
    <n v="30"/>
    <n v="158"/>
    <x v="41"/>
    <d v="2023-11-22T00:00:00"/>
    <n v="16757.509999999998"/>
    <n v="9"/>
  </r>
  <r>
    <x v="0"/>
    <x v="2"/>
    <x v="9"/>
    <n v="27"/>
    <n v="65"/>
    <x v="47"/>
    <d v="2023-04-08T00:00:00"/>
    <n v="35720.61"/>
    <n v="10"/>
  </r>
  <r>
    <x v="6"/>
    <x v="5"/>
    <x v="6"/>
    <n v="45"/>
    <n v="88"/>
    <x v="48"/>
    <d v="2023-07-05T00:00:00"/>
    <n v="9438.26"/>
    <n v="14"/>
  </r>
  <r>
    <x v="0"/>
    <x v="7"/>
    <x v="8"/>
    <n v="32"/>
    <n v="51"/>
    <x v="49"/>
    <d v="2024-01-12T00:00:00"/>
    <n v="27223.46"/>
    <n v="13"/>
  </r>
  <r>
    <x v="9"/>
    <x v="4"/>
    <x v="4"/>
    <n v="10"/>
    <n v="94"/>
    <x v="50"/>
    <d v="2023-02-02T00:00:00"/>
    <n v="35570.839999999997"/>
    <n v="15"/>
  </r>
  <r>
    <x v="7"/>
    <x v="2"/>
    <x v="3"/>
    <n v="13"/>
    <n v="75"/>
    <x v="51"/>
    <d v="2023-02-13T00:00:00"/>
    <n v="26027.37"/>
    <n v="6"/>
  </r>
  <r>
    <x v="8"/>
    <x v="6"/>
    <x v="3"/>
    <n v="23"/>
    <n v="109"/>
    <x v="52"/>
    <d v="2023-07-01T00:00:00"/>
    <n v="36909.89"/>
    <n v="8"/>
  </r>
  <r>
    <x v="1"/>
    <x v="1"/>
    <x v="5"/>
    <n v="41"/>
    <n v="47"/>
    <x v="23"/>
    <d v="2023-03-29T00:00:00"/>
    <n v="8519.11"/>
    <n v="4"/>
  </r>
  <r>
    <x v="9"/>
    <x v="0"/>
    <x v="2"/>
    <n v="9"/>
    <n v="134"/>
    <x v="53"/>
    <d v="2023-05-31T00:00:00"/>
    <n v="48873.72"/>
    <n v="14"/>
  </r>
  <r>
    <x v="9"/>
    <x v="3"/>
    <x v="6"/>
    <n v="49"/>
    <n v="42"/>
    <x v="54"/>
    <d v="2024-01-07T00:00:00"/>
    <n v="31342.58"/>
    <n v="10"/>
  </r>
  <r>
    <x v="4"/>
    <x v="2"/>
    <x v="0"/>
    <n v="48"/>
    <n v="138"/>
    <x v="50"/>
    <d v="2023-01-26T00:00:00"/>
    <n v="46741.91"/>
    <n v="8"/>
  </r>
  <r>
    <x v="4"/>
    <x v="9"/>
    <x v="1"/>
    <n v="42"/>
    <n v="58"/>
    <x v="13"/>
    <d v="2023-09-19T00:00:00"/>
    <n v="26614.52"/>
    <n v="1"/>
  </r>
  <r>
    <x v="7"/>
    <x v="2"/>
    <x v="3"/>
    <n v="21"/>
    <n v="50"/>
    <x v="55"/>
    <d v="2023-06-27T00:00:00"/>
    <n v="10978.18"/>
    <n v="5"/>
  </r>
  <r>
    <x v="4"/>
    <x v="8"/>
    <x v="1"/>
    <n v="21"/>
    <n v="66"/>
    <x v="1"/>
    <d v="2024-01-13T00:00:00"/>
    <n v="31175.27"/>
    <n v="15"/>
  </r>
  <r>
    <x v="8"/>
    <x v="1"/>
    <x v="0"/>
    <n v="31"/>
    <n v="122"/>
    <x v="45"/>
    <d v="2023-11-13T00:00:00"/>
    <n v="44290.86"/>
    <n v="3"/>
  </r>
  <r>
    <x v="2"/>
    <x v="9"/>
    <x v="1"/>
    <n v="26"/>
    <n v="85"/>
    <x v="28"/>
    <d v="2023-09-29T00:00:00"/>
    <n v="7502.64"/>
    <n v="4"/>
  </r>
  <r>
    <x v="9"/>
    <x v="7"/>
    <x v="1"/>
    <n v="31"/>
    <n v="75"/>
    <x v="56"/>
    <d v="2023-06-11T00:00:00"/>
    <n v="7121.37"/>
    <n v="5"/>
  </r>
  <r>
    <x v="2"/>
    <x v="5"/>
    <x v="3"/>
    <n v="39"/>
    <n v="70"/>
    <x v="57"/>
    <d v="2023-08-04T00:00:00"/>
    <n v="48241"/>
    <n v="7"/>
  </r>
  <r>
    <x v="3"/>
    <x v="2"/>
    <x v="9"/>
    <n v="14"/>
    <n v="91"/>
    <x v="58"/>
    <d v="2023-08-03T00:00:00"/>
    <n v="33446.239999999998"/>
    <n v="14"/>
  </r>
  <r>
    <x v="1"/>
    <x v="9"/>
    <x v="1"/>
    <n v="14"/>
    <n v="62"/>
    <x v="59"/>
    <d v="2023-12-30T00:00:00"/>
    <n v="13590.65"/>
    <n v="13"/>
  </r>
  <r>
    <x v="3"/>
    <x v="0"/>
    <x v="4"/>
    <n v="28"/>
    <n v="84"/>
    <x v="60"/>
    <d v="2023-02-22T00:00:00"/>
    <n v="20849.310000000001"/>
    <n v="14"/>
  </r>
  <r>
    <x v="6"/>
    <x v="3"/>
    <x v="9"/>
    <n v="35"/>
    <n v="57"/>
    <x v="61"/>
    <d v="2023-08-19T00:00:00"/>
    <n v="4388.33"/>
    <n v="10"/>
  </r>
  <r>
    <x v="7"/>
    <x v="1"/>
    <x v="2"/>
    <n v="5"/>
    <n v="41"/>
    <x v="62"/>
    <d v="2023-04-05T00:00:00"/>
    <n v="23916.63"/>
    <n v="5"/>
  </r>
  <r>
    <x v="2"/>
    <x v="9"/>
    <x v="3"/>
    <n v="29"/>
    <n v="54"/>
    <x v="63"/>
    <d v="2023-11-05T00:00:00"/>
    <n v="5084.1099999999997"/>
    <n v="14"/>
  </r>
  <r>
    <x v="5"/>
    <x v="2"/>
    <x v="9"/>
    <n v="28"/>
    <n v="102"/>
    <x v="0"/>
    <d v="2023-12-20T00:00:00"/>
    <n v="23328.9"/>
    <n v="7"/>
  </r>
  <r>
    <x v="3"/>
    <x v="8"/>
    <x v="2"/>
    <n v="41"/>
    <n v="27"/>
    <x v="64"/>
    <d v="2023-03-06T00:00:00"/>
    <n v="33417.279999999999"/>
    <n v="14"/>
  </r>
  <r>
    <x v="7"/>
    <x v="5"/>
    <x v="8"/>
    <n v="6"/>
    <n v="110"/>
    <x v="65"/>
    <d v="2023-10-06T00:00:00"/>
    <n v="36545.43"/>
    <n v="15"/>
  </r>
  <r>
    <x v="8"/>
    <x v="5"/>
    <x v="5"/>
    <n v="19"/>
    <n v="31"/>
    <x v="32"/>
    <d v="2023-07-15T00:00:00"/>
    <n v="43687.01"/>
    <n v="14"/>
  </r>
  <r>
    <x v="8"/>
    <x v="4"/>
    <x v="8"/>
    <n v="7"/>
    <n v="50"/>
    <x v="66"/>
    <d v="2023-08-07T00:00:00"/>
    <n v="13902.24"/>
    <n v="5"/>
  </r>
  <r>
    <x v="5"/>
    <x v="6"/>
    <x v="9"/>
    <n v="32"/>
    <n v="56"/>
    <x v="67"/>
    <d v="2023-01-26T00:00:00"/>
    <n v="22456.61"/>
    <n v="15"/>
  </r>
  <r>
    <x v="9"/>
    <x v="0"/>
    <x v="3"/>
    <n v="28"/>
    <n v="154"/>
    <x v="68"/>
    <d v="2023-09-19T00:00:00"/>
    <n v="23012.639999999999"/>
    <n v="15"/>
  </r>
  <r>
    <x v="2"/>
    <x v="7"/>
    <x v="9"/>
    <n v="44"/>
    <n v="194"/>
    <x v="69"/>
    <d v="2023-08-27T00:00:00"/>
    <n v="33963.65"/>
    <n v="9"/>
  </r>
  <r>
    <x v="5"/>
    <x v="3"/>
    <x v="4"/>
    <n v="40"/>
    <n v="150"/>
    <x v="70"/>
    <d v="2023-05-02T00:00:00"/>
    <n v="9775.99"/>
    <n v="1"/>
  </r>
  <r>
    <x v="9"/>
    <x v="2"/>
    <x v="3"/>
    <n v="38"/>
    <n v="108"/>
    <x v="21"/>
    <d v="2023-04-20T00:00:00"/>
    <n v="17211.57"/>
    <n v="12"/>
  </r>
  <r>
    <x v="4"/>
    <x v="2"/>
    <x v="3"/>
    <n v="17"/>
    <n v="29"/>
    <x v="71"/>
    <d v="2023-01-25T00:00:00"/>
    <n v="17999.48"/>
    <n v="9"/>
  </r>
  <r>
    <x v="9"/>
    <x v="3"/>
    <x v="7"/>
    <n v="43"/>
    <n v="96"/>
    <x v="72"/>
    <d v="2023-02-05T00:00:00"/>
    <n v="42883.43"/>
    <n v="1"/>
  </r>
  <r>
    <x v="4"/>
    <x v="8"/>
    <x v="8"/>
    <n v="21"/>
    <n v="151"/>
    <x v="33"/>
    <d v="2023-06-09T00:00:00"/>
    <n v="2854.22"/>
    <n v="2"/>
  </r>
  <r>
    <x v="8"/>
    <x v="5"/>
    <x v="9"/>
    <n v="40"/>
    <n v="88"/>
    <x v="16"/>
    <d v="2023-03-25T00:00:00"/>
    <n v="8333.48"/>
    <n v="3"/>
  </r>
  <r>
    <x v="3"/>
    <x v="2"/>
    <x v="3"/>
    <n v="25"/>
    <n v="131"/>
    <x v="73"/>
    <d v="2023-07-02T00:00:00"/>
    <n v="47678.73"/>
    <n v="2"/>
  </r>
  <r>
    <x v="1"/>
    <x v="2"/>
    <x v="7"/>
    <n v="9"/>
    <n v="106"/>
    <x v="74"/>
    <d v="2023-11-21T00:00:00"/>
    <n v="44526.27"/>
    <n v="7"/>
  </r>
  <r>
    <x v="7"/>
    <x v="1"/>
    <x v="6"/>
    <n v="48"/>
    <n v="25"/>
    <x v="75"/>
    <d v="2023-10-28T00:00:00"/>
    <n v="4514.63"/>
    <n v="12"/>
  </r>
  <r>
    <x v="9"/>
    <x v="2"/>
    <x v="4"/>
    <n v="23"/>
    <n v="20"/>
    <x v="76"/>
    <d v="2023-04-22T00:00:00"/>
    <n v="25418.26"/>
    <n v="5"/>
  </r>
  <r>
    <x v="4"/>
    <x v="1"/>
    <x v="0"/>
    <n v="6"/>
    <n v="48"/>
    <x v="77"/>
    <d v="2023-07-24T00:00:00"/>
    <n v="46666.48"/>
    <n v="13"/>
  </r>
  <r>
    <x v="1"/>
    <x v="3"/>
    <x v="1"/>
    <n v="19"/>
    <n v="152"/>
    <x v="13"/>
    <d v="2023-09-19T00:00:00"/>
    <n v="39298.300000000003"/>
    <n v="1"/>
  </r>
  <r>
    <x v="8"/>
    <x v="8"/>
    <x v="6"/>
    <n v="24"/>
    <n v="43"/>
    <x v="78"/>
    <d v="2023-10-01T00:00:00"/>
    <n v="45451.78"/>
    <n v="2"/>
  </r>
  <r>
    <x v="4"/>
    <x v="5"/>
    <x v="2"/>
    <n v="43"/>
    <n v="133"/>
    <x v="79"/>
    <d v="2023-02-11T00:00:00"/>
    <n v="24556.18"/>
    <n v="15"/>
  </r>
  <r>
    <x v="6"/>
    <x v="4"/>
    <x v="5"/>
    <n v="20"/>
    <n v="77"/>
    <x v="80"/>
    <d v="2023-03-18T00:00:00"/>
    <n v="7146.07"/>
    <n v="11"/>
  </r>
  <r>
    <x v="0"/>
    <x v="9"/>
    <x v="4"/>
    <n v="28"/>
    <n v="126"/>
    <x v="81"/>
    <d v="2023-12-10T00:00:00"/>
    <n v="21065.59"/>
    <n v="11"/>
  </r>
  <r>
    <x v="2"/>
    <x v="5"/>
    <x v="6"/>
    <n v="26"/>
    <n v="169"/>
    <x v="82"/>
    <d v="2023-02-19T00:00:00"/>
    <n v="41677.339999999997"/>
    <n v="1"/>
  </r>
  <r>
    <x v="7"/>
    <x v="9"/>
    <x v="5"/>
    <n v="40"/>
    <n v="193"/>
    <x v="83"/>
    <d v="2023-11-15T00:00:00"/>
    <n v="47625.7"/>
    <n v="14"/>
  </r>
  <r>
    <x v="9"/>
    <x v="7"/>
    <x v="9"/>
    <n v="42"/>
    <n v="163"/>
    <x v="84"/>
    <d v="2023-05-26T00:00:00"/>
    <n v="8684.16"/>
    <n v="7"/>
  </r>
  <r>
    <x v="7"/>
    <x v="9"/>
    <x v="3"/>
    <n v="14"/>
    <n v="37"/>
    <x v="85"/>
    <d v="2023-12-15T00:00:00"/>
    <n v="17213.05"/>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1B3CDF-7B04-40CA-A1B3-A9F2784863C5}"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Q33:R34" firstHeaderRow="0" firstDataRow="1" firstDataCol="0"/>
  <pivotFields count="11">
    <pivotField showAll="0">
      <items count="11">
        <item x="5"/>
        <item x="3"/>
        <item x="1"/>
        <item x="4"/>
        <item x="6"/>
        <item x="7"/>
        <item x="2"/>
        <item x="9"/>
        <item x="8"/>
        <item x="0"/>
        <item t="default"/>
      </items>
    </pivotField>
    <pivotField showAll="0">
      <items count="11">
        <item x="2"/>
        <item x="9"/>
        <item x="0"/>
        <item x="8"/>
        <item x="3"/>
        <item x="5"/>
        <item x="4"/>
        <item x="7"/>
        <item x="6"/>
        <item x="1"/>
        <item t="default"/>
      </items>
    </pivotField>
    <pivotField showAll="0">
      <items count="11">
        <item x="8"/>
        <item x="7"/>
        <item x="1"/>
        <item x="6"/>
        <item x="4"/>
        <item x="9"/>
        <item x="5"/>
        <item x="0"/>
        <item x="2"/>
        <item x="3"/>
        <item t="default"/>
      </items>
    </pivotField>
    <pivotField dataField="1" showAll="0"/>
    <pivotField dataField="1" showAll="0"/>
    <pivotField numFmtId="14" showAll="0">
      <items count="87">
        <item x="67"/>
        <item x="71"/>
        <item x="50"/>
        <item x="35"/>
        <item x="79"/>
        <item x="72"/>
        <item x="5"/>
        <item x="51"/>
        <item x="60"/>
        <item x="4"/>
        <item x="34"/>
        <item x="19"/>
        <item x="82"/>
        <item x="64"/>
        <item x="24"/>
        <item x="80"/>
        <item x="11"/>
        <item x="16"/>
        <item x="23"/>
        <item x="44"/>
        <item x="47"/>
        <item x="62"/>
        <item x="26"/>
        <item x="21"/>
        <item x="76"/>
        <item x="3"/>
        <item x="70"/>
        <item x="27"/>
        <item x="29"/>
        <item x="42"/>
        <item x="53"/>
        <item x="84"/>
        <item x="37"/>
        <item x="56"/>
        <item x="33"/>
        <item x="39"/>
        <item x="8"/>
        <item x="48"/>
        <item x="55"/>
        <item x="52"/>
        <item x="15"/>
        <item x="73"/>
        <item x="32"/>
        <item x="43"/>
        <item x="77"/>
        <item x="58"/>
        <item x="57"/>
        <item x="6"/>
        <item x="66"/>
        <item x="14"/>
        <item x="61"/>
        <item x="46"/>
        <item x="69"/>
        <item x="31"/>
        <item x="68"/>
        <item x="40"/>
        <item x="10"/>
        <item x="13"/>
        <item x="30"/>
        <item x="65"/>
        <item x="28"/>
        <item x="78"/>
        <item x="7"/>
        <item x="20"/>
        <item x="2"/>
        <item x="75"/>
        <item x="63"/>
        <item x="36"/>
        <item x="22"/>
        <item x="83"/>
        <item x="18"/>
        <item x="25"/>
        <item x="45"/>
        <item x="17"/>
        <item x="41"/>
        <item x="74"/>
        <item x="12"/>
        <item x="81"/>
        <item x="9"/>
        <item x="85"/>
        <item x="0"/>
        <item x="38"/>
        <item x="59"/>
        <item x="54"/>
        <item x="1"/>
        <item x="49"/>
        <item t="default"/>
      </items>
    </pivotField>
    <pivotField numFmtId="14"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Doctors_Count" fld="3" baseField="2" baseItem="0"/>
    <dataField name="Patients_Count" fld="4" baseField="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F033D6-8048-4345-B31A-09319E26F08C}"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Q18:R29" firstHeaderRow="1" firstDataRow="1" firstDataCol="1"/>
  <pivotFields count="11">
    <pivotField showAll="0">
      <items count="11">
        <item x="5"/>
        <item x="3"/>
        <item x="1"/>
        <item x="4"/>
        <item x="6"/>
        <item x="7"/>
        <item x="2"/>
        <item x="9"/>
        <item x="8"/>
        <item x="0"/>
        <item t="default"/>
      </items>
    </pivotField>
    <pivotField axis="axisRow" showAll="0">
      <items count="11">
        <item x="2"/>
        <item x="9"/>
        <item x="0"/>
        <item x="8"/>
        <item x="3"/>
        <item x="5"/>
        <item x="4"/>
        <item x="7"/>
        <item x="6"/>
        <item x="1"/>
        <item t="default"/>
      </items>
    </pivotField>
    <pivotField showAll="0">
      <items count="11">
        <item x="8"/>
        <item x="7"/>
        <item x="1"/>
        <item x="6"/>
        <item x="4"/>
        <item x="9"/>
        <item x="5"/>
        <item x="0"/>
        <item x="2"/>
        <item x="3"/>
        <item t="default"/>
      </items>
    </pivotField>
    <pivotField showAll="0"/>
    <pivotField showAll="0"/>
    <pivotField numFmtId="14" showAll="0">
      <items count="87">
        <item x="67"/>
        <item x="71"/>
        <item x="50"/>
        <item x="35"/>
        <item x="79"/>
        <item x="72"/>
        <item x="5"/>
        <item x="51"/>
        <item x="60"/>
        <item x="4"/>
        <item x="34"/>
        <item x="19"/>
        <item x="82"/>
        <item x="64"/>
        <item x="24"/>
        <item x="80"/>
        <item x="11"/>
        <item x="16"/>
        <item x="23"/>
        <item x="44"/>
        <item x="47"/>
        <item x="62"/>
        <item x="26"/>
        <item x="21"/>
        <item x="76"/>
        <item x="3"/>
        <item x="70"/>
        <item x="27"/>
        <item x="29"/>
        <item x="42"/>
        <item x="53"/>
        <item x="84"/>
        <item x="37"/>
        <item x="56"/>
        <item x="33"/>
        <item x="39"/>
        <item x="8"/>
        <item x="48"/>
        <item x="55"/>
        <item x="52"/>
        <item x="15"/>
        <item x="73"/>
        <item x="32"/>
        <item x="43"/>
        <item x="77"/>
        <item x="58"/>
        <item x="57"/>
        <item x="6"/>
        <item x="66"/>
        <item x="14"/>
        <item x="61"/>
        <item x="46"/>
        <item x="69"/>
        <item x="31"/>
        <item x="68"/>
        <item x="40"/>
        <item x="10"/>
        <item x="13"/>
        <item x="30"/>
        <item x="65"/>
        <item x="28"/>
        <item x="78"/>
        <item x="7"/>
        <item x="20"/>
        <item x="2"/>
        <item x="75"/>
        <item x="63"/>
        <item x="36"/>
        <item x="22"/>
        <item x="83"/>
        <item x="18"/>
        <item x="25"/>
        <item x="45"/>
        <item x="17"/>
        <item x="41"/>
        <item x="74"/>
        <item x="12"/>
        <item x="81"/>
        <item x="9"/>
        <item x="85"/>
        <item x="0"/>
        <item x="38"/>
        <item x="59"/>
        <item x="54"/>
        <item x="1"/>
        <item x="49"/>
        <item t="default"/>
      </items>
    </pivotField>
    <pivotField numFmtId="14"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Items count="1">
    <i/>
  </colItems>
  <dataFields count="1">
    <dataField name="Sum of  Medical Expenses " fld="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128F57-0E33-4323-B5A2-FA9DA0E7126F}"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Q3:R14" firstHeaderRow="1" firstDataRow="1" firstDataCol="1"/>
  <pivotFields count="11">
    <pivotField showAll="0">
      <items count="11">
        <item x="5"/>
        <item x="3"/>
        <item x="1"/>
        <item x="4"/>
        <item x="6"/>
        <item x="7"/>
        <item x="2"/>
        <item x="9"/>
        <item x="8"/>
        <item x="0"/>
        <item t="default"/>
      </items>
    </pivotField>
    <pivotField showAll="0">
      <items count="11">
        <item x="2"/>
        <item x="9"/>
        <item x="0"/>
        <item x="8"/>
        <item x="3"/>
        <item x="5"/>
        <item x="4"/>
        <item x="7"/>
        <item x="6"/>
        <item x="1"/>
        <item t="default"/>
      </items>
    </pivotField>
    <pivotField axis="axisRow" showAll="0">
      <items count="11">
        <item x="8"/>
        <item x="7"/>
        <item x="1"/>
        <item x="6"/>
        <item x="4"/>
        <item x="9"/>
        <item x="5"/>
        <item x="0"/>
        <item x="2"/>
        <item x="3"/>
        <item t="default"/>
      </items>
    </pivotField>
    <pivotField showAll="0"/>
    <pivotField dataField="1" showAll="0"/>
    <pivotField numFmtId="14" showAll="0">
      <items count="87">
        <item x="67"/>
        <item x="71"/>
        <item x="50"/>
        <item x="35"/>
        <item x="79"/>
        <item x="72"/>
        <item x="5"/>
        <item x="51"/>
        <item x="60"/>
        <item x="4"/>
        <item x="34"/>
        <item x="19"/>
        <item x="82"/>
        <item x="64"/>
        <item x="24"/>
        <item x="80"/>
        <item x="11"/>
        <item x="16"/>
        <item x="23"/>
        <item x="44"/>
        <item x="47"/>
        <item x="62"/>
        <item x="26"/>
        <item x="21"/>
        <item x="76"/>
        <item x="3"/>
        <item x="70"/>
        <item x="27"/>
        <item x="29"/>
        <item x="42"/>
        <item x="53"/>
        <item x="84"/>
        <item x="37"/>
        <item x="56"/>
        <item x="33"/>
        <item x="39"/>
        <item x="8"/>
        <item x="48"/>
        <item x="55"/>
        <item x="52"/>
        <item x="15"/>
        <item x="73"/>
        <item x="32"/>
        <item x="43"/>
        <item x="77"/>
        <item x="58"/>
        <item x="57"/>
        <item x="6"/>
        <item x="66"/>
        <item x="14"/>
        <item x="61"/>
        <item x="46"/>
        <item x="69"/>
        <item x="31"/>
        <item x="68"/>
        <item x="40"/>
        <item x="10"/>
        <item x="13"/>
        <item x="30"/>
        <item x="65"/>
        <item x="28"/>
        <item x="78"/>
        <item x="7"/>
        <item x="20"/>
        <item x="2"/>
        <item x="75"/>
        <item x="63"/>
        <item x="36"/>
        <item x="22"/>
        <item x="83"/>
        <item x="18"/>
        <item x="25"/>
        <item x="45"/>
        <item x="17"/>
        <item x="41"/>
        <item x="74"/>
        <item x="12"/>
        <item x="81"/>
        <item x="9"/>
        <item x="85"/>
        <item x="0"/>
        <item x="38"/>
        <item x="59"/>
        <item x="54"/>
        <item x="1"/>
        <item x="49"/>
        <item t="default"/>
      </items>
    </pivotField>
    <pivotField numFmtId="14"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i>
    <i>
      <x v="1"/>
    </i>
    <i>
      <x v="2"/>
    </i>
    <i>
      <x v="3"/>
    </i>
    <i>
      <x v="4"/>
    </i>
    <i>
      <x v="5"/>
    </i>
    <i>
      <x v="6"/>
    </i>
    <i>
      <x v="7"/>
    </i>
    <i>
      <x v="8"/>
    </i>
    <i>
      <x v="9"/>
    </i>
    <i t="grand">
      <x/>
    </i>
  </rowItems>
  <colItems count="1">
    <i/>
  </colItems>
  <dataFields count="1">
    <dataField name="Sum of Patients Count" fld="4" baseField="0" baseItem="0"/>
  </dataFields>
  <chartFormats count="12">
    <chartFormat chart="0" format="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 count="1" selected="0">
            <x v="0"/>
          </reference>
        </references>
      </pivotArea>
    </chartFormat>
    <chartFormat chart="6" format="14">
      <pivotArea type="data" outline="0" fieldPosition="0">
        <references count="2">
          <reference field="4294967294" count="1" selected="0">
            <x v="0"/>
          </reference>
          <reference field="2" count="1" selected="0">
            <x v="1"/>
          </reference>
        </references>
      </pivotArea>
    </chartFormat>
    <chartFormat chart="6" format="15">
      <pivotArea type="data" outline="0" fieldPosition="0">
        <references count="2">
          <reference field="4294967294" count="1" selected="0">
            <x v="0"/>
          </reference>
          <reference field="2" count="1" selected="0">
            <x v="2"/>
          </reference>
        </references>
      </pivotArea>
    </chartFormat>
    <chartFormat chart="6" format="16">
      <pivotArea type="data" outline="0" fieldPosition="0">
        <references count="2">
          <reference field="4294967294" count="1" selected="0">
            <x v="0"/>
          </reference>
          <reference field="2" count="1" selected="0">
            <x v="3"/>
          </reference>
        </references>
      </pivotArea>
    </chartFormat>
    <chartFormat chart="6" format="17">
      <pivotArea type="data" outline="0" fieldPosition="0">
        <references count="2">
          <reference field="4294967294" count="1" selected="0">
            <x v="0"/>
          </reference>
          <reference field="2" count="1" selected="0">
            <x v="4"/>
          </reference>
        </references>
      </pivotArea>
    </chartFormat>
    <chartFormat chart="6" format="18">
      <pivotArea type="data" outline="0" fieldPosition="0">
        <references count="2">
          <reference field="4294967294" count="1" selected="0">
            <x v="0"/>
          </reference>
          <reference field="2" count="1" selected="0">
            <x v="5"/>
          </reference>
        </references>
      </pivotArea>
    </chartFormat>
    <chartFormat chart="6" format="19">
      <pivotArea type="data" outline="0" fieldPosition="0">
        <references count="2">
          <reference field="4294967294" count="1" selected="0">
            <x v="0"/>
          </reference>
          <reference field="2" count="1" selected="0">
            <x v="6"/>
          </reference>
        </references>
      </pivotArea>
    </chartFormat>
    <chartFormat chart="6" format="20">
      <pivotArea type="data" outline="0" fieldPosition="0">
        <references count="2">
          <reference field="4294967294" count="1" selected="0">
            <x v="0"/>
          </reference>
          <reference field="2" count="1" selected="0">
            <x v="7"/>
          </reference>
        </references>
      </pivotArea>
    </chartFormat>
    <chartFormat chart="6" format="21">
      <pivotArea type="data" outline="0" fieldPosition="0">
        <references count="2">
          <reference field="4294967294" count="1" selected="0">
            <x v="0"/>
          </reference>
          <reference field="2" count="1" selected="0">
            <x v="8"/>
          </reference>
        </references>
      </pivotArea>
    </chartFormat>
    <chartFormat chart="6" format="22">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2711CB-D4A2-481C-A63C-36D6460A3D52}"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2:C45" firstHeaderRow="1" firstDataRow="1" firstDataCol="1"/>
  <pivotFields count="11">
    <pivotField showAll="0">
      <items count="11">
        <item x="5"/>
        <item x="3"/>
        <item x="1"/>
        <item x="4"/>
        <item x="6"/>
        <item x="7"/>
        <item x="2"/>
        <item x="9"/>
        <item x="8"/>
        <item x="0"/>
        <item t="default"/>
      </items>
    </pivotField>
    <pivotField showAll="0">
      <items count="11">
        <item x="2"/>
        <item x="9"/>
        <item x="0"/>
        <item x="8"/>
        <item x="3"/>
        <item x="5"/>
        <item x="4"/>
        <item x="7"/>
        <item x="6"/>
        <item x="1"/>
        <item t="default"/>
      </items>
    </pivotField>
    <pivotField showAll="0">
      <items count="11">
        <item x="8"/>
        <item x="7"/>
        <item x="1"/>
        <item x="6"/>
        <item x="4"/>
        <item x="9"/>
        <item x="5"/>
        <item x="0"/>
        <item x="2"/>
        <item x="3"/>
        <item t="default"/>
      </items>
    </pivotField>
    <pivotField showAll="0"/>
    <pivotField showAll="0"/>
    <pivotField axis="axisRow" numFmtId="14" showAll="0">
      <items count="87">
        <item x="67"/>
        <item x="71"/>
        <item x="50"/>
        <item x="35"/>
        <item x="79"/>
        <item x="72"/>
        <item x="5"/>
        <item x="51"/>
        <item x="60"/>
        <item x="4"/>
        <item x="34"/>
        <item x="19"/>
        <item x="82"/>
        <item x="64"/>
        <item x="24"/>
        <item x="80"/>
        <item x="11"/>
        <item x="16"/>
        <item x="23"/>
        <item x="44"/>
        <item x="47"/>
        <item x="62"/>
        <item x="26"/>
        <item x="21"/>
        <item x="76"/>
        <item x="3"/>
        <item x="70"/>
        <item x="27"/>
        <item x="29"/>
        <item x="42"/>
        <item x="53"/>
        <item x="84"/>
        <item x="37"/>
        <item x="56"/>
        <item x="33"/>
        <item x="39"/>
        <item x="8"/>
        <item x="48"/>
        <item x="55"/>
        <item x="52"/>
        <item x="15"/>
        <item x="73"/>
        <item x="32"/>
        <item x="43"/>
        <item x="77"/>
        <item x="58"/>
        <item x="57"/>
        <item x="6"/>
        <item x="66"/>
        <item x="14"/>
        <item x="61"/>
        <item x="46"/>
        <item x="69"/>
        <item x="31"/>
        <item x="68"/>
        <item x="40"/>
        <item x="10"/>
        <item x="13"/>
        <item x="30"/>
        <item x="65"/>
        <item x="28"/>
        <item x="78"/>
        <item x="7"/>
        <item x="20"/>
        <item x="2"/>
        <item x="75"/>
        <item x="63"/>
        <item x="36"/>
        <item x="22"/>
        <item x="83"/>
        <item x="18"/>
        <item x="25"/>
        <item x="45"/>
        <item x="17"/>
        <item x="41"/>
        <item x="74"/>
        <item x="12"/>
        <item x="81"/>
        <item x="9"/>
        <item x="85"/>
        <item x="0"/>
        <item x="38"/>
        <item x="59"/>
        <item x="54"/>
        <item x="1"/>
        <item x="49"/>
        <item t="default"/>
      </items>
    </pivotField>
    <pivotField numFmtId="14"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5"/>
  </rowFields>
  <rowItems count="13">
    <i>
      <x v="1"/>
    </i>
    <i>
      <x v="2"/>
    </i>
    <i>
      <x v="3"/>
    </i>
    <i>
      <x v="4"/>
    </i>
    <i>
      <x v="5"/>
    </i>
    <i>
      <x v="6"/>
    </i>
    <i>
      <x v="7"/>
    </i>
    <i>
      <x v="8"/>
    </i>
    <i>
      <x v="9"/>
    </i>
    <i>
      <x v="10"/>
    </i>
    <i>
      <x v="11"/>
    </i>
    <i>
      <x v="12"/>
    </i>
    <i t="grand">
      <x/>
    </i>
  </rowItems>
  <colItems count="1">
    <i/>
  </colItems>
  <dataFields count="1">
    <dataField name="Sum of  Medical Expenses "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2C0218-C40F-4CBA-870E-61FCDFEAF7AA}"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7:C28" firstHeaderRow="1" firstDataRow="1" firstDataCol="1"/>
  <pivotFields count="11">
    <pivotField axis="axisRow" showAll="0">
      <items count="11">
        <item x="5"/>
        <item x="3"/>
        <item x="1"/>
        <item x="4"/>
        <item x="6"/>
        <item x="7"/>
        <item x="2"/>
        <item x="9"/>
        <item x="8"/>
        <item x="0"/>
        <item t="default"/>
      </items>
    </pivotField>
    <pivotField showAll="0">
      <items count="11">
        <item x="2"/>
        <item x="9"/>
        <item x="0"/>
        <item x="8"/>
        <item x="3"/>
        <item x="5"/>
        <item x="4"/>
        <item x="7"/>
        <item x="6"/>
        <item x="1"/>
        <item t="default"/>
      </items>
    </pivotField>
    <pivotField showAll="0">
      <items count="11">
        <item x="8"/>
        <item x="7"/>
        <item x="1"/>
        <item x="6"/>
        <item x="4"/>
        <item x="9"/>
        <item x="5"/>
        <item x="0"/>
        <item x="2"/>
        <item x="3"/>
        <item t="default"/>
      </items>
    </pivotField>
    <pivotField showAll="0"/>
    <pivotField showAll="0"/>
    <pivotField numFmtId="14" showAll="0">
      <items count="87">
        <item x="67"/>
        <item x="71"/>
        <item x="50"/>
        <item x="35"/>
        <item x="79"/>
        <item x="72"/>
        <item x="5"/>
        <item x="51"/>
        <item x="60"/>
        <item x="4"/>
        <item x="34"/>
        <item x="19"/>
        <item x="82"/>
        <item x="64"/>
        <item x="24"/>
        <item x="80"/>
        <item x="11"/>
        <item x="16"/>
        <item x="23"/>
        <item x="44"/>
        <item x="47"/>
        <item x="62"/>
        <item x="26"/>
        <item x="21"/>
        <item x="76"/>
        <item x="3"/>
        <item x="70"/>
        <item x="27"/>
        <item x="29"/>
        <item x="42"/>
        <item x="53"/>
        <item x="84"/>
        <item x="37"/>
        <item x="56"/>
        <item x="33"/>
        <item x="39"/>
        <item x="8"/>
        <item x="48"/>
        <item x="55"/>
        <item x="52"/>
        <item x="15"/>
        <item x="73"/>
        <item x="32"/>
        <item x="43"/>
        <item x="77"/>
        <item x="58"/>
        <item x="57"/>
        <item x="6"/>
        <item x="66"/>
        <item x="14"/>
        <item x="61"/>
        <item x="46"/>
        <item x="69"/>
        <item x="31"/>
        <item x="68"/>
        <item x="40"/>
        <item x="10"/>
        <item x="13"/>
        <item x="30"/>
        <item x="65"/>
        <item x="28"/>
        <item x="78"/>
        <item x="7"/>
        <item x="20"/>
        <item x="2"/>
        <item x="75"/>
        <item x="63"/>
        <item x="36"/>
        <item x="22"/>
        <item x="83"/>
        <item x="18"/>
        <item x="25"/>
        <item x="45"/>
        <item x="17"/>
        <item x="41"/>
        <item x="74"/>
        <item x="12"/>
        <item x="81"/>
        <item x="9"/>
        <item x="85"/>
        <item x="0"/>
        <item x="38"/>
        <item x="59"/>
        <item x="54"/>
        <item x="1"/>
        <item x="49"/>
        <item t="default"/>
      </items>
    </pivotField>
    <pivotField numFmtId="14"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1">
    <i>
      <x/>
    </i>
    <i>
      <x v="1"/>
    </i>
    <i>
      <x v="2"/>
    </i>
    <i>
      <x v="3"/>
    </i>
    <i>
      <x v="4"/>
    </i>
    <i>
      <x v="5"/>
    </i>
    <i>
      <x v="6"/>
    </i>
    <i>
      <x v="7"/>
    </i>
    <i>
      <x v="8"/>
    </i>
    <i>
      <x v="9"/>
    </i>
    <i t="grand">
      <x/>
    </i>
  </rowItems>
  <colItems count="1">
    <i/>
  </colItems>
  <dataFields count="1">
    <dataField name="Sum of  Medical Expenses "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38A3BB-0FC1-4A6E-9DFB-ED09F943D824}"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C13" firstHeaderRow="1" firstDataRow="1" firstDataCol="1"/>
  <pivotFields count="11">
    <pivotField showAll="0">
      <items count="11">
        <item x="5"/>
        <item x="3"/>
        <item x="1"/>
        <item x="4"/>
        <item x="6"/>
        <item x="7"/>
        <item x="2"/>
        <item x="9"/>
        <item x="8"/>
        <item x="0"/>
        <item t="default"/>
      </items>
    </pivotField>
    <pivotField showAll="0">
      <items count="11">
        <item x="2"/>
        <item x="9"/>
        <item x="0"/>
        <item x="8"/>
        <item x="3"/>
        <item x="5"/>
        <item x="4"/>
        <item x="7"/>
        <item x="6"/>
        <item x="1"/>
        <item t="default"/>
      </items>
    </pivotField>
    <pivotField axis="axisRow" showAll="0">
      <items count="11">
        <item x="8"/>
        <item x="7"/>
        <item x="1"/>
        <item x="6"/>
        <item x="4"/>
        <item x="9"/>
        <item x="5"/>
        <item x="0"/>
        <item x="2"/>
        <item x="3"/>
        <item t="default"/>
      </items>
    </pivotField>
    <pivotField showAll="0"/>
    <pivotField dataField="1" showAll="0"/>
    <pivotField numFmtId="14" showAll="0">
      <items count="87">
        <item x="67"/>
        <item x="71"/>
        <item x="50"/>
        <item x="35"/>
        <item x="79"/>
        <item x="72"/>
        <item x="5"/>
        <item x="51"/>
        <item x="60"/>
        <item x="4"/>
        <item x="34"/>
        <item x="19"/>
        <item x="82"/>
        <item x="64"/>
        <item x="24"/>
        <item x="80"/>
        <item x="11"/>
        <item x="16"/>
        <item x="23"/>
        <item x="44"/>
        <item x="47"/>
        <item x="62"/>
        <item x="26"/>
        <item x="21"/>
        <item x="76"/>
        <item x="3"/>
        <item x="70"/>
        <item x="27"/>
        <item x="29"/>
        <item x="42"/>
        <item x="53"/>
        <item x="84"/>
        <item x="37"/>
        <item x="56"/>
        <item x="33"/>
        <item x="39"/>
        <item x="8"/>
        <item x="48"/>
        <item x="55"/>
        <item x="52"/>
        <item x="15"/>
        <item x="73"/>
        <item x="32"/>
        <item x="43"/>
        <item x="77"/>
        <item x="58"/>
        <item x="57"/>
        <item x="6"/>
        <item x="66"/>
        <item x="14"/>
        <item x="61"/>
        <item x="46"/>
        <item x="69"/>
        <item x="31"/>
        <item x="68"/>
        <item x="40"/>
        <item x="10"/>
        <item x="13"/>
        <item x="30"/>
        <item x="65"/>
        <item x="28"/>
        <item x="78"/>
        <item x="7"/>
        <item x="20"/>
        <item x="2"/>
        <item x="75"/>
        <item x="63"/>
        <item x="36"/>
        <item x="22"/>
        <item x="83"/>
        <item x="18"/>
        <item x="25"/>
        <item x="45"/>
        <item x="17"/>
        <item x="41"/>
        <item x="74"/>
        <item x="12"/>
        <item x="81"/>
        <item x="9"/>
        <item x="85"/>
        <item x="0"/>
        <item x="38"/>
        <item x="59"/>
        <item x="54"/>
        <item x="1"/>
        <item x="49"/>
        <item t="default"/>
      </items>
    </pivotField>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Items count="1">
    <i/>
  </colItems>
  <dataFields count="1">
    <dataField name="Sum of Patients C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230569-F866-4159-9447-CADBE62599E8}" autoFormatId="16" applyNumberFormats="0" applyBorderFormats="0" applyFontFormats="0" applyPatternFormats="0" applyAlignmentFormats="0" applyWidthHeightFormats="0">
  <queryTableRefresh nextId="10" unboundColumnsRight="1">
    <queryTableFields count="9">
      <queryTableField id="1" name="Hospital Name" tableColumnId="1"/>
      <queryTableField id="2" name="Location" tableColumnId="2"/>
      <queryTableField id="3" name="Department" tableColumnId="3"/>
      <queryTableField id="4" name="Doctors Count" tableColumnId="4"/>
      <queryTableField id="5" name="Patients Count" tableColumnId="5"/>
      <queryTableField id="6" name="Admission Date" tableColumnId="6"/>
      <queryTableField id="7" name="Discharge Date" tableColumnId="7"/>
      <queryTableField id="8" name=" Medical Expenses "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E51F9CD-C6F6-4443-BDAC-FEAF8EB4F7FE}" sourceName="Location">
  <pivotTables>
    <pivotTable tabId="3" name="PivotTable4"/>
    <pivotTable tabId="3" name="PivotTable1"/>
    <pivotTable tabId="3" name="PivotTable2"/>
    <pivotTable tabId="3" name="PivotTable5"/>
    <pivotTable tabId="3" name="PivotTable6"/>
    <pivotTable tabId="3" name="PivotTable8"/>
  </pivotTables>
  <data>
    <tabular pivotCacheId="1092674291">
      <items count="10">
        <i x="2" s="1"/>
        <i x="9" s="1"/>
        <i x="0" s="1"/>
        <i x="8" s="1"/>
        <i x="3" s="1"/>
        <i x="5" s="1"/>
        <i x="4" s="1"/>
        <i x="7"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58011EA-3662-46C4-BCCF-CB3BE8248763}" sourceName="Department">
  <pivotTables>
    <pivotTable tabId="3" name="PivotTable4"/>
    <pivotTable tabId="3" name="PivotTable1"/>
    <pivotTable tabId="3" name="PivotTable2"/>
    <pivotTable tabId="3" name="PivotTable5"/>
    <pivotTable tabId="3" name="PivotTable6"/>
    <pivotTable tabId="3" name="PivotTable8"/>
  </pivotTables>
  <data>
    <tabular pivotCacheId="1092674291">
      <items count="10">
        <i x="8" s="1"/>
        <i x="7" s="1"/>
        <i x="1" s="1"/>
        <i x="6" s="1"/>
        <i x="4" s="1"/>
        <i x="9" s="1"/>
        <i x="5"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Name" xr10:uid="{6138B89F-D039-4169-A1F6-2C67842E3E86}" sourceName="Hospital Name">
  <pivotTables>
    <pivotTable tabId="3" name="PivotTable4"/>
    <pivotTable tabId="3" name="PivotTable1"/>
    <pivotTable tabId="3" name="PivotTable2"/>
    <pivotTable tabId="3" name="PivotTable5"/>
    <pivotTable tabId="3" name="PivotTable6"/>
    <pivotTable tabId="3" name="PivotTable8"/>
  </pivotTables>
  <data>
    <tabular pivotCacheId="1092674291">
      <items count="10">
        <i x="5" s="1"/>
        <i x="3" s="1"/>
        <i x="1" s="1"/>
        <i x="4" s="1"/>
        <i x="6" s="1"/>
        <i x="7" s="1"/>
        <i x="2" s="1"/>
        <i x="9"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853A5C72-392E-49E0-9ECB-ED7588304BAF}" cache="Slicer_Location" caption="Location" style="SlicerStyleDark1" rowHeight="234950"/>
  <slicer name="Department" xr10:uid="{ECE7EB40-3FA2-43A9-8C13-386F8F21F6B7}" cache="Slicer_Department" caption="Department" style="SlicerStyleDark1" rowHeight="234950"/>
  <slicer name="Hospital Name" xr10:uid="{B352DFCA-35DA-4E5D-BEC6-5BE3F59327B6}" cache="Slicer_Hospital_Name" caption="Hospital Name"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2A1E78-4AE9-49D1-BB11-CE383BF16867}" name="HospitalData" displayName="HospitalData" ref="A1:I101" tableType="queryTable" totalsRowShown="0">
  <autoFilter ref="A1:I101" xr:uid="{742A1E78-4AE9-49D1-BB11-CE383BF16867}"/>
  <tableColumns count="9">
    <tableColumn id="1" xr3:uid="{7F63F83D-BA7D-41BF-A2A7-04289EE83F61}" uniqueName="1" name="Hospital Name" queryTableFieldId="1" dataDxfId="5"/>
    <tableColumn id="2" xr3:uid="{EAF0A8D4-4D24-4B9A-95DC-827F200958B7}" uniqueName="2" name="Location" queryTableFieldId="2" dataDxfId="4"/>
    <tableColumn id="3" xr3:uid="{2245D72E-8452-4553-967F-EB3841C6AA76}" uniqueName="3" name="Department" queryTableFieldId="3" dataDxfId="3"/>
    <tableColumn id="4" xr3:uid="{10A0FF1D-1984-4334-BEAA-F95A8A6EEA48}" uniqueName="4" name="Doctors Count" queryTableFieldId="4"/>
    <tableColumn id="5" xr3:uid="{5F5A2E2A-EC25-4699-A009-9AC83C70DCE2}" uniqueName="5" name="Patients Count" queryTableFieldId="5"/>
    <tableColumn id="6" xr3:uid="{EB02D2A5-58BF-4CD7-B058-CD35C05CBE16}" uniqueName="6" name="Admission Date" queryTableFieldId="6" dataDxfId="2"/>
    <tableColumn id="7" xr3:uid="{3C67D424-F4FD-482A-9B9B-A6A280DCEE6C}" uniqueName="7" name="Discharge Date" queryTableFieldId="7" dataDxfId="1"/>
    <tableColumn id="8" xr3:uid="{D77B5A4B-6C64-492A-A0D7-F0C1C79F31AF}" uniqueName="8" name=" Medical Expenses " queryTableFieldId="8"/>
    <tableColumn id="9" xr3:uid="{28E76C80-2F3F-4E0C-BDB8-09CF46B0CAAE}" uniqueName="9" name="No of Days stayed" queryTableFieldId="9" dataDxfId="0">
      <calculatedColumnFormula>HospitalData[[#This Row],[Discharge Date]]-HospitalData[[#This Row],[Admission 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DF0DA-BF9C-42E3-902A-38CF1E37175B}">
  <dimension ref="A1:I101"/>
  <sheetViews>
    <sheetView topLeftCell="A74" workbookViewId="0">
      <selection activeCell="F2" sqref="F2"/>
    </sheetView>
  </sheetViews>
  <sheetFormatPr defaultRowHeight="14.4"/>
  <cols>
    <col min="1" max="1" width="18.5546875" bestFit="1" customWidth="1"/>
    <col min="2" max="2" width="10.6640625" bestFit="1" customWidth="1"/>
    <col min="3" max="4" width="15.33203125" bestFit="1" customWidth="1"/>
    <col min="5" max="5" width="15.6640625" bestFit="1" customWidth="1"/>
    <col min="6" max="6" width="16.33203125" bestFit="1" customWidth="1"/>
    <col min="7" max="7" width="15.77734375" bestFit="1" customWidth="1"/>
    <col min="8" max="8" width="19" bestFit="1" customWidth="1"/>
  </cols>
  <sheetData>
    <row r="1" spans="1:9">
      <c r="A1" t="s">
        <v>0</v>
      </c>
      <c r="B1" t="s">
        <v>1</v>
      </c>
      <c r="C1" t="s">
        <v>2</v>
      </c>
      <c r="D1" t="s">
        <v>3</v>
      </c>
      <c r="E1" t="s">
        <v>4</v>
      </c>
      <c r="F1" t="s">
        <v>5</v>
      </c>
      <c r="G1" t="s">
        <v>6</v>
      </c>
      <c r="H1" t="s">
        <v>7</v>
      </c>
      <c r="I1" t="s">
        <v>41</v>
      </c>
    </row>
    <row r="2" spans="1:9">
      <c r="A2" t="s">
        <v>8</v>
      </c>
      <c r="B2" t="s">
        <v>9</v>
      </c>
      <c r="C2" t="s">
        <v>10</v>
      </c>
      <c r="D2">
        <v>47</v>
      </c>
      <c r="E2">
        <v>182</v>
      </c>
      <c r="F2" s="1">
        <v>45273</v>
      </c>
      <c r="G2" s="1">
        <v>45274</v>
      </c>
      <c r="H2">
        <v>31364.880000000001</v>
      </c>
      <c r="I2">
        <f>HospitalData[[#This Row],[Discharge Date]]-HospitalData[[#This Row],[Admission Date]]</f>
        <v>1</v>
      </c>
    </row>
    <row r="3" spans="1:9">
      <c r="A3" t="s">
        <v>11</v>
      </c>
      <c r="B3" t="s">
        <v>12</v>
      </c>
      <c r="C3" t="s">
        <v>13</v>
      </c>
      <c r="D3">
        <v>15</v>
      </c>
      <c r="E3">
        <v>51</v>
      </c>
      <c r="F3" s="1">
        <v>45289</v>
      </c>
      <c r="G3" s="1">
        <v>45300</v>
      </c>
      <c r="H3">
        <v>47280.19</v>
      </c>
      <c r="I3">
        <f>HospitalData[[#This Row],[Discharge Date]]-HospitalData[[#This Row],[Admission Date]]</f>
        <v>11</v>
      </c>
    </row>
    <row r="4" spans="1:9">
      <c r="A4" t="s">
        <v>8</v>
      </c>
      <c r="B4" t="s">
        <v>14</v>
      </c>
      <c r="C4" t="s">
        <v>15</v>
      </c>
      <c r="D4">
        <v>20</v>
      </c>
      <c r="E4">
        <v>120</v>
      </c>
      <c r="F4" s="1">
        <v>45206</v>
      </c>
      <c r="G4" s="1">
        <v>45220</v>
      </c>
      <c r="H4">
        <v>28574.720000000001</v>
      </c>
      <c r="I4">
        <f>HospitalData[[#This Row],[Discharge Date]]-HospitalData[[#This Row],[Admission Date]]</f>
        <v>14</v>
      </c>
    </row>
    <row r="5" spans="1:9">
      <c r="A5" t="s">
        <v>16</v>
      </c>
      <c r="B5" t="s">
        <v>17</v>
      </c>
      <c r="C5" t="s">
        <v>18</v>
      </c>
      <c r="D5">
        <v>8</v>
      </c>
      <c r="E5">
        <v>172</v>
      </c>
      <c r="F5" s="1">
        <v>45045</v>
      </c>
      <c r="G5" s="1">
        <v>45057</v>
      </c>
      <c r="H5">
        <v>7000.83</v>
      </c>
      <c r="I5">
        <f>HospitalData[[#This Row],[Discharge Date]]-HospitalData[[#This Row],[Admission Date]]</f>
        <v>12</v>
      </c>
    </row>
    <row r="6" spans="1:9">
      <c r="A6" t="s">
        <v>19</v>
      </c>
      <c r="B6" t="s">
        <v>20</v>
      </c>
      <c r="C6" t="s">
        <v>21</v>
      </c>
      <c r="D6">
        <v>35</v>
      </c>
      <c r="E6">
        <v>76</v>
      </c>
      <c r="F6" s="1">
        <v>44967</v>
      </c>
      <c r="G6" s="1">
        <v>44969</v>
      </c>
      <c r="H6">
        <v>47210.46</v>
      </c>
      <c r="I6">
        <f>HospitalData[[#This Row],[Discharge Date]]-HospitalData[[#This Row],[Admission Date]]</f>
        <v>2</v>
      </c>
    </row>
    <row r="7" spans="1:9">
      <c r="A7" t="s">
        <v>16</v>
      </c>
      <c r="B7" t="s">
        <v>17</v>
      </c>
      <c r="C7" t="s">
        <v>22</v>
      </c>
      <c r="D7">
        <v>11</v>
      </c>
      <c r="E7">
        <v>76</v>
      </c>
      <c r="F7" s="1">
        <v>44962</v>
      </c>
      <c r="G7" s="1">
        <v>44974</v>
      </c>
      <c r="H7">
        <v>18612.34</v>
      </c>
      <c r="I7">
        <f>HospitalData[[#This Row],[Discharge Date]]-HospitalData[[#This Row],[Admission Date]]</f>
        <v>12</v>
      </c>
    </row>
    <row r="8" spans="1:9">
      <c r="A8" t="s">
        <v>23</v>
      </c>
      <c r="B8" t="s">
        <v>14</v>
      </c>
      <c r="C8" t="s">
        <v>22</v>
      </c>
      <c r="D8">
        <v>22</v>
      </c>
      <c r="E8">
        <v>99</v>
      </c>
      <c r="F8" s="1">
        <v>45139</v>
      </c>
      <c r="G8" s="1">
        <v>45144</v>
      </c>
      <c r="H8">
        <v>47808.55</v>
      </c>
      <c r="I8">
        <f>HospitalData[[#This Row],[Discharge Date]]-HospitalData[[#This Row],[Admission Date]]</f>
        <v>5</v>
      </c>
    </row>
    <row r="9" spans="1:9">
      <c r="A9" t="s">
        <v>24</v>
      </c>
      <c r="B9" t="s">
        <v>25</v>
      </c>
      <c r="C9" t="s">
        <v>26</v>
      </c>
      <c r="D9">
        <v>37</v>
      </c>
      <c r="E9">
        <v>173</v>
      </c>
      <c r="F9" s="1">
        <v>45200</v>
      </c>
      <c r="G9" s="1">
        <v>45211</v>
      </c>
      <c r="H9">
        <v>12284.65</v>
      </c>
      <c r="I9">
        <f>HospitalData[[#This Row],[Discharge Date]]-HospitalData[[#This Row],[Admission Date]]</f>
        <v>11</v>
      </c>
    </row>
    <row r="10" spans="1:9">
      <c r="A10" t="s">
        <v>16</v>
      </c>
      <c r="B10" t="s">
        <v>25</v>
      </c>
      <c r="C10" t="s">
        <v>13</v>
      </c>
      <c r="D10">
        <v>9</v>
      </c>
      <c r="E10">
        <v>198</v>
      </c>
      <c r="F10" s="1">
        <v>45089</v>
      </c>
      <c r="G10" s="1">
        <v>45095</v>
      </c>
      <c r="H10">
        <v>14650.23</v>
      </c>
      <c r="I10">
        <f>HospitalData[[#This Row],[Discharge Date]]-HospitalData[[#This Row],[Admission Date]]</f>
        <v>6</v>
      </c>
    </row>
    <row r="11" spans="1:9">
      <c r="A11" t="s">
        <v>27</v>
      </c>
      <c r="B11" t="s">
        <v>12</v>
      </c>
      <c r="C11" t="s">
        <v>15</v>
      </c>
      <c r="D11">
        <v>30</v>
      </c>
      <c r="E11">
        <v>107</v>
      </c>
      <c r="F11" s="1">
        <v>45267</v>
      </c>
      <c r="G11" s="1">
        <v>45268</v>
      </c>
      <c r="H11">
        <v>30006.959999999999</v>
      </c>
      <c r="I11">
        <f>HospitalData[[#This Row],[Discharge Date]]-HospitalData[[#This Row],[Admission Date]]</f>
        <v>1</v>
      </c>
    </row>
    <row r="12" spans="1:9">
      <c r="A12" t="s">
        <v>28</v>
      </c>
      <c r="B12" t="s">
        <v>29</v>
      </c>
      <c r="C12" t="s">
        <v>30</v>
      </c>
      <c r="D12">
        <v>39</v>
      </c>
      <c r="E12">
        <v>70</v>
      </c>
      <c r="F12" s="1">
        <v>45182</v>
      </c>
      <c r="G12" s="1">
        <v>45184</v>
      </c>
      <c r="H12">
        <v>13282.51</v>
      </c>
      <c r="I12">
        <f>HospitalData[[#This Row],[Discharge Date]]-HospitalData[[#This Row],[Admission Date]]</f>
        <v>2</v>
      </c>
    </row>
    <row r="13" spans="1:9">
      <c r="A13" t="s">
        <v>11</v>
      </c>
      <c r="B13" t="s">
        <v>25</v>
      </c>
      <c r="C13" t="s">
        <v>18</v>
      </c>
      <c r="D13">
        <v>22</v>
      </c>
      <c r="E13">
        <v>38</v>
      </c>
      <c r="F13" s="1">
        <v>44997</v>
      </c>
      <c r="G13" s="1">
        <v>45010</v>
      </c>
      <c r="H13">
        <v>13481.9</v>
      </c>
      <c r="I13">
        <f>HospitalData[[#This Row],[Discharge Date]]-HospitalData[[#This Row],[Admission Date]]</f>
        <v>13</v>
      </c>
    </row>
    <row r="14" spans="1:9">
      <c r="A14" t="s">
        <v>19</v>
      </c>
      <c r="B14" t="s">
        <v>31</v>
      </c>
      <c r="C14" t="s">
        <v>32</v>
      </c>
      <c r="D14">
        <v>32</v>
      </c>
      <c r="E14">
        <v>67</v>
      </c>
      <c r="F14" s="1">
        <v>45248</v>
      </c>
      <c r="G14" s="1">
        <v>45254</v>
      </c>
      <c r="H14">
        <v>36748.42</v>
      </c>
      <c r="I14">
        <f>HospitalData[[#This Row],[Discharge Date]]-HospitalData[[#This Row],[Admission Date]]</f>
        <v>6</v>
      </c>
    </row>
    <row r="15" spans="1:9">
      <c r="A15" t="s">
        <v>11</v>
      </c>
      <c r="B15" t="s">
        <v>25</v>
      </c>
      <c r="C15" t="s">
        <v>10</v>
      </c>
      <c r="D15">
        <v>27</v>
      </c>
      <c r="E15">
        <v>60</v>
      </c>
      <c r="F15" s="1">
        <v>45187</v>
      </c>
      <c r="G15" s="1">
        <v>45193</v>
      </c>
      <c r="H15">
        <v>37056.51</v>
      </c>
      <c r="I15">
        <f>HospitalData[[#This Row],[Discharge Date]]-HospitalData[[#This Row],[Admission Date]]</f>
        <v>6</v>
      </c>
    </row>
    <row r="16" spans="1:9">
      <c r="A16" t="s">
        <v>33</v>
      </c>
      <c r="B16" t="s">
        <v>14</v>
      </c>
      <c r="C16" t="s">
        <v>21</v>
      </c>
      <c r="D16">
        <v>48</v>
      </c>
      <c r="E16">
        <v>37</v>
      </c>
      <c r="F16" s="1">
        <v>45144</v>
      </c>
      <c r="G16" s="1">
        <v>45149</v>
      </c>
      <c r="H16">
        <v>15107.89</v>
      </c>
      <c r="I16">
        <f>HospitalData[[#This Row],[Discharge Date]]-HospitalData[[#This Row],[Admission Date]]</f>
        <v>5</v>
      </c>
    </row>
    <row r="17" spans="1:9">
      <c r="A17" t="s">
        <v>28</v>
      </c>
      <c r="B17" t="s">
        <v>9</v>
      </c>
      <c r="C17" t="s">
        <v>32</v>
      </c>
      <c r="D17">
        <v>17</v>
      </c>
      <c r="E17">
        <v>60</v>
      </c>
      <c r="F17" s="1">
        <v>45104</v>
      </c>
      <c r="G17" s="1">
        <v>45107</v>
      </c>
      <c r="H17">
        <v>9348.5499999999993</v>
      </c>
      <c r="I17">
        <f>HospitalData[[#This Row],[Discharge Date]]-HospitalData[[#This Row],[Admission Date]]</f>
        <v>3</v>
      </c>
    </row>
    <row r="18" spans="1:9">
      <c r="A18" t="s">
        <v>27</v>
      </c>
      <c r="B18" t="s">
        <v>9</v>
      </c>
      <c r="C18" t="s">
        <v>15</v>
      </c>
      <c r="D18">
        <v>40</v>
      </c>
      <c r="E18">
        <v>96</v>
      </c>
      <c r="F18" s="1">
        <v>45007</v>
      </c>
      <c r="G18" s="1">
        <v>45013</v>
      </c>
      <c r="H18">
        <v>48548.44</v>
      </c>
      <c r="I18">
        <f>HospitalData[[#This Row],[Discharge Date]]-HospitalData[[#This Row],[Admission Date]]</f>
        <v>6</v>
      </c>
    </row>
    <row r="19" spans="1:9">
      <c r="A19" t="s">
        <v>28</v>
      </c>
      <c r="B19" t="s">
        <v>14</v>
      </c>
      <c r="C19" t="s">
        <v>34</v>
      </c>
      <c r="D19">
        <v>14</v>
      </c>
      <c r="E19">
        <v>68</v>
      </c>
      <c r="F19" s="1">
        <v>45241</v>
      </c>
      <c r="G19" s="1">
        <v>45252</v>
      </c>
      <c r="H19">
        <v>29942.75</v>
      </c>
      <c r="I19">
        <f>HospitalData[[#This Row],[Discharge Date]]-HospitalData[[#This Row],[Admission Date]]</f>
        <v>11</v>
      </c>
    </row>
    <row r="20" spans="1:9">
      <c r="A20" t="s">
        <v>24</v>
      </c>
      <c r="B20" t="s">
        <v>35</v>
      </c>
      <c r="C20" t="s">
        <v>18</v>
      </c>
      <c r="D20">
        <v>41</v>
      </c>
      <c r="E20">
        <v>111</v>
      </c>
      <c r="F20" s="1">
        <v>45235</v>
      </c>
      <c r="G20" s="1">
        <v>45238</v>
      </c>
      <c r="H20">
        <v>43367.53</v>
      </c>
      <c r="I20">
        <f>HospitalData[[#This Row],[Discharge Date]]-HospitalData[[#This Row],[Admission Date]]</f>
        <v>3</v>
      </c>
    </row>
    <row r="21" spans="1:9">
      <c r="A21" t="s">
        <v>11</v>
      </c>
      <c r="B21" t="s">
        <v>29</v>
      </c>
      <c r="C21" t="s">
        <v>18</v>
      </c>
      <c r="D21">
        <v>46</v>
      </c>
      <c r="E21">
        <v>154</v>
      </c>
      <c r="F21" s="1">
        <v>44971</v>
      </c>
      <c r="G21" s="1">
        <v>44975</v>
      </c>
      <c r="H21">
        <v>41367.1</v>
      </c>
      <c r="I21">
        <f>HospitalData[[#This Row],[Discharge Date]]-HospitalData[[#This Row],[Admission Date]]</f>
        <v>4</v>
      </c>
    </row>
    <row r="22" spans="1:9">
      <c r="A22" t="s">
        <v>36</v>
      </c>
      <c r="B22" t="s">
        <v>37</v>
      </c>
      <c r="C22" t="s">
        <v>30</v>
      </c>
      <c r="D22">
        <v>7</v>
      </c>
      <c r="E22">
        <v>68</v>
      </c>
      <c r="F22" s="1">
        <v>45205</v>
      </c>
      <c r="G22" s="1">
        <v>45206</v>
      </c>
      <c r="H22">
        <v>30136.26</v>
      </c>
      <c r="I22">
        <f>HospitalData[[#This Row],[Discharge Date]]-HospitalData[[#This Row],[Admission Date]]</f>
        <v>1</v>
      </c>
    </row>
    <row r="23" spans="1:9">
      <c r="A23" t="s">
        <v>24</v>
      </c>
      <c r="B23" t="s">
        <v>17</v>
      </c>
      <c r="C23" t="s">
        <v>30</v>
      </c>
      <c r="D23">
        <v>28</v>
      </c>
      <c r="E23">
        <v>191</v>
      </c>
      <c r="F23" s="1">
        <v>45024</v>
      </c>
      <c r="G23" s="1">
        <v>45038</v>
      </c>
      <c r="H23">
        <v>17698.490000000002</v>
      </c>
      <c r="I23">
        <f>HospitalData[[#This Row],[Discharge Date]]-HospitalData[[#This Row],[Admission Date]]</f>
        <v>14</v>
      </c>
    </row>
    <row r="24" spans="1:9">
      <c r="A24" t="s">
        <v>11</v>
      </c>
      <c r="B24" t="s">
        <v>14</v>
      </c>
      <c r="C24" t="s">
        <v>22</v>
      </c>
      <c r="D24">
        <v>32</v>
      </c>
      <c r="E24">
        <v>116</v>
      </c>
      <c r="F24" s="1">
        <v>45227</v>
      </c>
      <c r="G24" s="1">
        <v>45229</v>
      </c>
      <c r="H24">
        <v>40799.019999999997</v>
      </c>
      <c r="I24">
        <f>HospitalData[[#This Row],[Discharge Date]]-HospitalData[[#This Row],[Admission Date]]</f>
        <v>2</v>
      </c>
    </row>
    <row r="25" spans="1:9">
      <c r="A25" t="s">
        <v>24</v>
      </c>
      <c r="B25" t="s">
        <v>17</v>
      </c>
      <c r="C25" t="s">
        <v>10</v>
      </c>
      <c r="D25">
        <v>5</v>
      </c>
      <c r="E25">
        <v>79</v>
      </c>
      <c r="F25" s="1">
        <v>45010</v>
      </c>
      <c r="G25" s="1">
        <v>45014</v>
      </c>
      <c r="H25">
        <v>20952.509999999998</v>
      </c>
      <c r="I25">
        <f>HospitalData[[#This Row],[Discharge Date]]-HospitalData[[#This Row],[Admission Date]]</f>
        <v>4</v>
      </c>
    </row>
    <row r="26" spans="1:9">
      <c r="A26" t="s">
        <v>19</v>
      </c>
      <c r="B26" t="s">
        <v>31</v>
      </c>
      <c r="C26" t="s">
        <v>22</v>
      </c>
      <c r="D26">
        <v>48</v>
      </c>
      <c r="E26">
        <v>91</v>
      </c>
      <c r="F26" s="1">
        <v>44981</v>
      </c>
      <c r="G26" s="1">
        <v>44989</v>
      </c>
      <c r="H26">
        <v>10882.4</v>
      </c>
      <c r="I26">
        <f>HospitalData[[#This Row],[Discharge Date]]-HospitalData[[#This Row],[Admission Date]]</f>
        <v>8</v>
      </c>
    </row>
    <row r="27" spans="1:9">
      <c r="A27" t="s">
        <v>24</v>
      </c>
      <c r="B27" t="s">
        <v>12</v>
      </c>
      <c r="C27" t="s">
        <v>13</v>
      </c>
      <c r="D27">
        <v>9</v>
      </c>
      <c r="E27">
        <v>59</v>
      </c>
      <c r="F27" s="1">
        <v>45239</v>
      </c>
      <c r="G27" s="1">
        <v>45246</v>
      </c>
      <c r="H27">
        <v>25177.79</v>
      </c>
      <c r="I27">
        <f>HospitalData[[#This Row],[Discharge Date]]-HospitalData[[#This Row],[Admission Date]]</f>
        <v>7</v>
      </c>
    </row>
    <row r="28" spans="1:9">
      <c r="A28" t="s">
        <v>24</v>
      </c>
      <c r="B28" t="s">
        <v>31</v>
      </c>
      <c r="C28" t="s">
        <v>13</v>
      </c>
      <c r="D28">
        <v>9</v>
      </c>
      <c r="E28">
        <v>171</v>
      </c>
      <c r="F28" s="1">
        <v>45022</v>
      </c>
      <c r="G28" s="1">
        <v>45037</v>
      </c>
      <c r="H28">
        <v>21666.78</v>
      </c>
      <c r="I28">
        <f>HospitalData[[#This Row],[Discharge Date]]-HospitalData[[#This Row],[Admission Date]]</f>
        <v>15</v>
      </c>
    </row>
    <row r="29" spans="1:9">
      <c r="A29" t="s">
        <v>24</v>
      </c>
      <c r="B29" t="s">
        <v>31</v>
      </c>
      <c r="C29" t="s">
        <v>30</v>
      </c>
      <c r="D29">
        <v>20</v>
      </c>
      <c r="E29">
        <v>39</v>
      </c>
      <c r="F29" s="1">
        <v>45051</v>
      </c>
      <c r="G29" s="1">
        <v>45056</v>
      </c>
      <c r="H29">
        <v>37856.699999999997</v>
      </c>
      <c r="I29">
        <f>HospitalData[[#This Row],[Discharge Date]]-HospitalData[[#This Row],[Admission Date]]</f>
        <v>5</v>
      </c>
    </row>
    <row r="30" spans="1:9">
      <c r="A30" t="s">
        <v>28</v>
      </c>
      <c r="B30" t="s">
        <v>12</v>
      </c>
      <c r="C30" t="s">
        <v>32</v>
      </c>
      <c r="D30">
        <v>46</v>
      </c>
      <c r="E30">
        <v>55</v>
      </c>
      <c r="F30" s="1">
        <v>45194</v>
      </c>
      <c r="G30" s="1">
        <v>45198</v>
      </c>
      <c r="H30">
        <v>25298.5</v>
      </c>
      <c r="I30">
        <f>HospitalData[[#This Row],[Discharge Date]]-HospitalData[[#This Row],[Admission Date]]</f>
        <v>4</v>
      </c>
    </row>
    <row r="31" spans="1:9">
      <c r="A31" t="s">
        <v>19</v>
      </c>
      <c r="B31" t="s">
        <v>17</v>
      </c>
      <c r="C31" t="s">
        <v>30</v>
      </c>
      <c r="D31">
        <v>7</v>
      </c>
      <c r="E31">
        <v>88</v>
      </c>
      <c r="F31" s="1">
        <v>45058</v>
      </c>
      <c r="G31" s="1">
        <v>45067</v>
      </c>
      <c r="H31">
        <v>28558.23</v>
      </c>
      <c r="I31">
        <f>HospitalData[[#This Row],[Discharge Date]]-HospitalData[[#This Row],[Admission Date]]</f>
        <v>9</v>
      </c>
    </row>
    <row r="32" spans="1:9">
      <c r="A32" t="s">
        <v>23</v>
      </c>
      <c r="B32" t="s">
        <v>9</v>
      </c>
      <c r="C32" t="s">
        <v>30</v>
      </c>
      <c r="D32">
        <v>36</v>
      </c>
      <c r="E32">
        <v>69</v>
      </c>
      <c r="F32" s="1">
        <v>45188</v>
      </c>
      <c r="G32" s="1">
        <v>45189</v>
      </c>
      <c r="H32">
        <v>44452.26</v>
      </c>
      <c r="I32">
        <f>HospitalData[[#This Row],[Discharge Date]]-HospitalData[[#This Row],[Admission Date]]</f>
        <v>1</v>
      </c>
    </row>
    <row r="33" spans="1:9">
      <c r="A33" t="s">
        <v>28</v>
      </c>
      <c r="B33" t="s">
        <v>29</v>
      </c>
      <c r="C33" t="s">
        <v>34</v>
      </c>
      <c r="D33">
        <v>20</v>
      </c>
      <c r="E33">
        <v>94</v>
      </c>
      <c r="F33" s="1">
        <v>45159</v>
      </c>
      <c r="G33" s="1">
        <v>45166</v>
      </c>
      <c r="H33">
        <v>49955.41</v>
      </c>
      <c r="I33">
        <f>HospitalData[[#This Row],[Discharge Date]]-HospitalData[[#This Row],[Admission Date]]</f>
        <v>7</v>
      </c>
    </row>
    <row r="34" spans="1:9">
      <c r="A34" t="s">
        <v>27</v>
      </c>
      <c r="B34" t="s">
        <v>25</v>
      </c>
      <c r="C34" t="s">
        <v>30</v>
      </c>
      <c r="D34">
        <v>38</v>
      </c>
      <c r="E34">
        <v>139</v>
      </c>
      <c r="F34" s="1">
        <v>45108</v>
      </c>
      <c r="G34" s="1">
        <v>45122</v>
      </c>
      <c r="H34">
        <v>14118.62</v>
      </c>
      <c r="I34">
        <f>HospitalData[[#This Row],[Discharge Date]]-HospitalData[[#This Row],[Admission Date]]</f>
        <v>14</v>
      </c>
    </row>
    <row r="35" spans="1:9">
      <c r="A35" t="s">
        <v>23</v>
      </c>
      <c r="B35" t="s">
        <v>25</v>
      </c>
      <c r="C35" t="s">
        <v>18</v>
      </c>
      <c r="D35">
        <v>38</v>
      </c>
      <c r="E35">
        <v>62</v>
      </c>
      <c r="F35" s="1">
        <v>45084</v>
      </c>
      <c r="G35" s="1">
        <v>45094</v>
      </c>
      <c r="H35">
        <v>22074.89</v>
      </c>
      <c r="I35">
        <f>HospitalData[[#This Row],[Discharge Date]]-HospitalData[[#This Row],[Admission Date]]</f>
        <v>10</v>
      </c>
    </row>
    <row r="36" spans="1:9">
      <c r="A36" t="s">
        <v>23</v>
      </c>
      <c r="B36" t="s">
        <v>20</v>
      </c>
      <c r="C36" t="s">
        <v>10</v>
      </c>
      <c r="D36">
        <v>22</v>
      </c>
      <c r="E36">
        <v>133</v>
      </c>
      <c r="F36" s="1">
        <v>44970</v>
      </c>
      <c r="G36" s="1">
        <v>44985</v>
      </c>
      <c r="H36">
        <v>18795.689999999999</v>
      </c>
      <c r="I36">
        <f>HospitalData[[#This Row],[Discharge Date]]-HospitalData[[#This Row],[Admission Date]]</f>
        <v>15</v>
      </c>
    </row>
    <row r="37" spans="1:9">
      <c r="A37" t="s">
        <v>8</v>
      </c>
      <c r="B37" t="s">
        <v>25</v>
      </c>
      <c r="C37" t="s">
        <v>34</v>
      </c>
      <c r="D37">
        <v>47</v>
      </c>
      <c r="E37">
        <v>84</v>
      </c>
      <c r="F37" s="1">
        <v>44946</v>
      </c>
      <c r="G37" s="1">
        <v>44952</v>
      </c>
      <c r="H37">
        <v>26646.52</v>
      </c>
      <c r="I37">
        <f>HospitalData[[#This Row],[Discharge Date]]-HospitalData[[#This Row],[Admission Date]]</f>
        <v>6</v>
      </c>
    </row>
    <row r="38" spans="1:9">
      <c r="A38" t="s">
        <v>11</v>
      </c>
      <c r="B38" t="s">
        <v>25</v>
      </c>
      <c r="C38" t="s">
        <v>22</v>
      </c>
      <c r="D38">
        <v>15</v>
      </c>
      <c r="E38">
        <v>40</v>
      </c>
      <c r="F38" s="1">
        <v>45222</v>
      </c>
      <c r="G38" s="1">
        <v>45225</v>
      </c>
      <c r="H38">
        <v>37057.29</v>
      </c>
      <c r="I38">
        <f>HospitalData[[#This Row],[Discharge Date]]-HospitalData[[#This Row],[Admission Date]]</f>
        <v>3</v>
      </c>
    </row>
    <row r="39" spans="1:9">
      <c r="A39" t="s">
        <v>28</v>
      </c>
      <c r="B39" t="s">
        <v>35</v>
      </c>
      <c r="C39" t="s">
        <v>26</v>
      </c>
      <c r="D39">
        <v>46</v>
      </c>
      <c r="E39">
        <v>23</v>
      </c>
      <c r="F39" s="1">
        <v>45073</v>
      </c>
      <c r="G39" s="1">
        <v>45075</v>
      </c>
      <c r="H39">
        <v>40771.839999999997</v>
      </c>
      <c r="I39">
        <f>HospitalData[[#This Row],[Discharge Date]]-HospitalData[[#This Row],[Admission Date]]</f>
        <v>2</v>
      </c>
    </row>
    <row r="40" spans="1:9">
      <c r="A40" t="s">
        <v>19</v>
      </c>
      <c r="B40" t="s">
        <v>20</v>
      </c>
      <c r="C40" t="s">
        <v>18</v>
      </c>
      <c r="D40">
        <v>6</v>
      </c>
      <c r="E40">
        <v>166</v>
      </c>
      <c r="F40" s="1">
        <v>45276</v>
      </c>
      <c r="G40" s="1">
        <v>45285</v>
      </c>
      <c r="H40">
        <v>40731.29</v>
      </c>
      <c r="I40">
        <f>HospitalData[[#This Row],[Discharge Date]]-HospitalData[[#This Row],[Admission Date]]</f>
        <v>9</v>
      </c>
    </row>
    <row r="41" spans="1:9">
      <c r="A41" t="s">
        <v>8</v>
      </c>
      <c r="B41" t="s">
        <v>31</v>
      </c>
      <c r="C41" t="s">
        <v>18</v>
      </c>
      <c r="D41">
        <v>37</v>
      </c>
      <c r="E41">
        <v>85</v>
      </c>
      <c r="F41" s="1">
        <v>45086</v>
      </c>
      <c r="G41" s="1">
        <v>45093</v>
      </c>
      <c r="H41">
        <v>4872.04</v>
      </c>
      <c r="I41">
        <f>HospitalData[[#This Row],[Discharge Date]]-HospitalData[[#This Row],[Admission Date]]</f>
        <v>7</v>
      </c>
    </row>
    <row r="42" spans="1:9">
      <c r="A42" t="s">
        <v>36</v>
      </c>
      <c r="B42" t="s">
        <v>31</v>
      </c>
      <c r="C42" t="s">
        <v>34</v>
      </c>
      <c r="D42">
        <v>22</v>
      </c>
      <c r="E42">
        <v>167</v>
      </c>
      <c r="F42" s="1">
        <v>45289</v>
      </c>
      <c r="G42" s="1">
        <v>45301</v>
      </c>
      <c r="H42">
        <v>44531.22</v>
      </c>
      <c r="I42">
        <f>HospitalData[[#This Row],[Discharge Date]]-HospitalData[[#This Row],[Admission Date]]</f>
        <v>12</v>
      </c>
    </row>
    <row r="43" spans="1:9">
      <c r="A43" t="s">
        <v>24</v>
      </c>
      <c r="B43" t="s">
        <v>9</v>
      </c>
      <c r="C43" t="s">
        <v>13</v>
      </c>
      <c r="D43">
        <v>8</v>
      </c>
      <c r="E43">
        <v>61</v>
      </c>
      <c r="F43" s="1">
        <v>45179</v>
      </c>
      <c r="G43" s="1">
        <v>45184</v>
      </c>
      <c r="H43">
        <v>42769.14</v>
      </c>
      <c r="I43">
        <f>HospitalData[[#This Row],[Discharge Date]]-HospitalData[[#This Row],[Admission Date]]</f>
        <v>5</v>
      </c>
    </row>
    <row r="44" spans="1:9">
      <c r="A44" t="s">
        <v>11</v>
      </c>
      <c r="B44" t="s">
        <v>37</v>
      </c>
      <c r="C44" t="s">
        <v>21</v>
      </c>
      <c r="D44">
        <v>30</v>
      </c>
      <c r="E44">
        <v>69</v>
      </c>
      <c r="F44" s="1">
        <v>45243</v>
      </c>
      <c r="G44" s="1">
        <v>45256</v>
      </c>
      <c r="H44">
        <v>14701.02</v>
      </c>
      <c r="I44">
        <f>HospitalData[[#This Row],[Discharge Date]]-HospitalData[[#This Row],[Admission Date]]</f>
        <v>13</v>
      </c>
    </row>
    <row r="45" spans="1:9">
      <c r="A45" t="s">
        <v>19</v>
      </c>
      <c r="B45" t="s">
        <v>25</v>
      </c>
      <c r="C45" t="s">
        <v>21</v>
      </c>
      <c r="D45">
        <v>11</v>
      </c>
      <c r="E45">
        <v>22</v>
      </c>
      <c r="F45" s="1">
        <v>45061</v>
      </c>
      <c r="G45" s="1">
        <v>45064</v>
      </c>
      <c r="H45">
        <v>48466.080000000002</v>
      </c>
      <c r="I45">
        <f>HospitalData[[#This Row],[Discharge Date]]-HospitalData[[#This Row],[Admission Date]]</f>
        <v>3</v>
      </c>
    </row>
    <row r="46" spans="1:9">
      <c r="A46" t="s">
        <v>33</v>
      </c>
      <c r="B46" t="s">
        <v>37</v>
      </c>
      <c r="C46" t="s">
        <v>13</v>
      </c>
      <c r="D46">
        <v>37</v>
      </c>
      <c r="E46">
        <v>26</v>
      </c>
      <c r="F46" s="1">
        <v>45117</v>
      </c>
      <c r="G46" s="1">
        <v>45131</v>
      </c>
      <c r="H46">
        <v>25367.78</v>
      </c>
      <c r="I46">
        <f>HospitalData[[#This Row],[Discharge Date]]-HospitalData[[#This Row],[Admission Date]]</f>
        <v>14</v>
      </c>
    </row>
    <row r="47" spans="1:9">
      <c r="A47" t="s">
        <v>27</v>
      </c>
      <c r="B47" t="s">
        <v>14</v>
      </c>
      <c r="C47" t="s">
        <v>30</v>
      </c>
      <c r="D47">
        <v>15</v>
      </c>
      <c r="E47">
        <v>112</v>
      </c>
      <c r="F47" s="1">
        <v>45011</v>
      </c>
      <c r="G47" s="1">
        <v>45013</v>
      </c>
      <c r="H47">
        <v>32628.67</v>
      </c>
      <c r="I47">
        <f>HospitalData[[#This Row],[Discharge Date]]-HospitalData[[#This Row],[Admission Date]]</f>
        <v>2</v>
      </c>
    </row>
    <row r="48" spans="1:9">
      <c r="A48" t="s">
        <v>16</v>
      </c>
      <c r="B48" t="s">
        <v>31</v>
      </c>
      <c r="C48" t="s">
        <v>18</v>
      </c>
      <c r="D48">
        <v>30</v>
      </c>
      <c r="E48">
        <v>161</v>
      </c>
      <c r="F48" s="1">
        <v>45240</v>
      </c>
      <c r="G48" s="1">
        <v>45255</v>
      </c>
      <c r="H48">
        <v>10166.89</v>
      </c>
      <c r="I48">
        <f>HospitalData[[#This Row],[Discharge Date]]-HospitalData[[#This Row],[Admission Date]]</f>
        <v>15</v>
      </c>
    </row>
    <row r="49" spans="1:9">
      <c r="A49" t="s">
        <v>27</v>
      </c>
      <c r="B49" t="s">
        <v>37</v>
      </c>
      <c r="C49" t="s">
        <v>15</v>
      </c>
      <c r="D49">
        <v>8</v>
      </c>
      <c r="E49">
        <v>177</v>
      </c>
      <c r="F49" s="1">
        <v>45151</v>
      </c>
      <c r="G49" s="1">
        <v>45155</v>
      </c>
      <c r="H49">
        <v>15913.48</v>
      </c>
      <c r="I49">
        <f>HospitalData[[#This Row],[Discharge Date]]-HospitalData[[#This Row],[Admission Date]]</f>
        <v>4</v>
      </c>
    </row>
    <row r="50" spans="1:9">
      <c r="A50" t="s">
        <v>28</v>
      </c>
      <c r="B50" t="s">
        <v>17</v>
      </c>
      <c r="C50" t="s">
        <v>15</v>
      </c>
      <c r="D50">
        <v>30</v>
      </c>
      <c r="E50">
        <v>158</v>
      </c>
      <c r="F50" s="1">
        <v>45243</v>
      </c>
      <c r="G50" s="1">
        <v>45252</v>
      </c>
      <c r="H50">
        <v>16757.509999999998</v>
      </c>
      <c r="I50">
        <f>HospitalData[[#This Row],[Discharge Date]]-HospitalData[[#This Row],[Admission Date]]</f>
        <v>9</v>
      </c>
    </row>
    <row r="51" spans="1:9">
      <c r="A51" t="s">
        <v>8</v>
      </c>
      <c r="B51" t="s">
        <v>14</v>
      </c>
      <c r="C51" t="s">
        <v>34</v>
      </c>
      <c r="D51">
        <v>27</v>
      </c>
      <c r="E51">
        <v>65</v>
      </c>
      <c r="F51" s="1">
        <v>45014</v>
      </c>
      <c r="G51" s="1">
        <v>45024</v>
      </c>
      <c r="H51">
        <v>35720.61</v>
      </c>
      <c r="I51">
        <f>HospitalData[[#This Row],[Discharge Date]]-HospitalData[[#This Row],[Admission Date]]</f>
        <v>10</v>
      </c>
    </row>
    <row r="52" spans="1:9">
      <c r="A52" t="s">
        <v>27</v>
      </c>
      <c r="B52" t="s">
        <v>25</v>
      </c>
      <c r="C52" t="s">
        <v>26</v>
      </c>
      <c r="D52">
        <v>45</v>
      </c>
      <c r="E52">
        <v>88</v>
      </c>
      <c r="F52" s="1">
        <v>45098</v>
      </c>
      <c r="G52" s="1">
        <v>45112</v>
      </c>
      <c r="H52">
        <v>9438.26</v>
      </c>
      <c r="I52">
        <f>HospitalData[[#This Row],[Discharge Date]]-HospitalData[[#This Row],[Admission Date]]</f>
        <v>14</v>
      </c>
    </row>
    <row r="53" spans="1:9">
      <c r="A53" t="s">
        <v>8</v>
      </c>
      <c r="B53" t="s">
        <v>31</v>
      </c>
      <c r="C53" t="s">
        <v>32</v>
      </c>
      <c r="D53">
        <v>32</v>
      </c>
      <c r="E53">
        <v>51</v>
      </c>
      <c r="F53" s="1">
        <v>45290</v>
      </c>
      <c r="G53" s="1">
        <v>45303</v>
      </c>
      <c r="H53">
        <v>27223.46</v>
      </c>
      <c r="I53">
        <f>HospitalData[[#This Row],[Discharge Date]]-HospitalData[[#This Row],[Admission Date]]</f>
        <v>13</v>
      </c>
    </row>
    <row r="54" spans="1:9">
      <c r="A54" t="s">
        <v>36</v>
      </c>
      <c r="B54" t="s">
        <v>20</v>
      </c>
      <c r="C54" t="s">
        <v>21</v>
      </c>
      <c r="D54">
        <v>10</v>
      </c>
      <c r="E54">
        <v>94</v>
      </c>
      <c r="F54" s="1">
        <v>44944</v>
      </c>
      <c r="G54" s="1">
        <v>44959</v>
      </c>
      <c r="H54">
        <v>35570.839999999997</v>
      </c>
      <c r="I54">
        <f>HospitalData[[#This Row],[Discharge Date]]-HospitalData[[#This Row],[Admission Date]]</f>
        <v>15</v>
      </c>
    </row>
    <row r="55" spans="1:9">
      <c r="A55" t="s">
        <v>28</v>
      </c>
      <c r="B55" t="s">
        <v>14</v>
      </c>
      <c r="C55" t="s">
        <v>18</v>
      </c>
      <c r="D55">
        <v>13</v>
      </c>
      <c r="E55">
        <v>75</v>
      </c>
      <c r="F55" s="1">
        <v>44964</v>
      </c>
      <c r="G55" s="1">
        <v>44970</v>
      </c>
      <c r="H55">
        <v>26027.37</v>
      </c>
      <c r="I55">
        <f>HospitalData[[#This Row],[Discharge Date]]-HospitalData[[#This Row],[Admission Date]]</f>
        <v>6</v>
      </c>
    </row>
    <row r="56" spans="1:9">
      <c r="A56" t="s">
        <v>33</v>
      </c>
      <c r="B56" t="s">
        <v>29</v>
      </c>
      <c r="C56" t="s">
        <v>18</v>
      </c>
      <c r="D56">
        <v>23</v>
      </c>
      <c r="E56">
        <v>109</v>
      </c>
      <c r="F56" s="1">
        <v>45100</v>
      </c>
      <c r="G56" s="1">
        <v>45108</v>
      </c>
      <c r="H56">
        <v>36909.89</v>
      </c>
      <c r="I56">
        <f>HospitalData[[#This Row],[Discharge Date]]-HospitalData[[#This Row],[Admission Date]]</f>
        <v>8</v>
      </c>
    </row>
    <row r="57" spans="1:9">
      <c r="A57" t="s">
        <v>11</v>
      </c>
      <c r="B57" t="s">
        <v>12</v>
      </c>
      <c r="C57" t="s">
        <v>22</v>
      </c>
      <c r="D57">
        <v>41</v>
      </c>
      <c r="E57">
        <v>47</v>
      </c>
      <c r="F57" s="1">
        <v>45010</v>
      </c>
      <c r="G57" s="1">
        <v>45014</v>
      </c>
      <c r="H57">
        <v>8519.11</v>
      </c>
      <c r="I57">
        <f>HospitalData[[#This Row],[Discharge Date]]-HospitalData[[#This Row],[Admission Date]]</f>
        <v>4</v>
      </c>
    </row>
    <row r="58" spans="1:9">
      <c r="A58" t="s">
        <v>36</v>
      </c>
      <c r="B58" t="s">
        <v>9</v>
      </c>
      <c r="C58" t="s">
        <v>15</v>
      </c>
      <c r="D58">
        <v>9</v>
      </c>
      <c r="E58">
        <v>134</v>
      </c>
      <c r="F58" s="1">
        <v>45063</v>
      </c>
      <c r="G58" s="1">
        <v>45077</v>
      </c>
      <c r="H58">
        <v>48873.72</v>
      </c>
      <c r="I58">
        <f>HospitalData[[#This Row],[Discharge Date]]-HospitalData[[#This Row],[Admission Date]]</f>
        <v>14</v>
      </c>
    </row>
    <row r="59" spans="1:9">
      <c r="A59" t="s">
        <v>36</v>
      </c>
      <c r="B59" t="s">
        <v>17</v>
      </c>
      <c r="C59" t="s">
        <v>26</v>
      </c>
      <c r="D59">
        <v>49</v>
      </c>
      <c r="E59">
        <v>42</v>
      </c>
      <c r="F59" s="1">
        <v>45288</v>
      </c>
      <c r="G59" s="1">
        <v>45298</v>
      </c>
      <c r="H59">
        <v>31342.58</v>
      </c>
      <c r="I59">
        <f>HospitalData[[#This Row],[Discharge Date]]-HospitalData[[#This Row],[Admission Date]]</f>
        <v>10</v>
      </c>
    </row>
    <row r="60" spans="1:9">
      <c r="A60" t="s">
        <v>23</v>
      </c>
      <c r="B60" t="s">
        <v>14</v>
      </c>
      <c r="C60" t="s">
        <v>10</v>
      </c>
      <c r="D60">
        <v>48</v>
      </c>
      <c r="E60">
        <v>138</v>
      </c>
      <c r="F60" s="1">
        <v>44944</v>
      </c>
      <c r="G60" s="1">
        <v>44952</v>
      </c>
      <c r="H60">
        <v>46741.91</v>
      </c>
      <c r="I60">
        <f>HospitalData[[#This Row],[Discharge Date]]-HospitalData[[#This Row],[Admission Date]]</f>
        <v>8</v>
      </c>
    </row>
    <row r="61" spans="1:9">
      <c r="A61" t="s">
        <v>23</v>
      </c>
      <c r="B61" t="s">
        <v>37</v>
      </c>
      <c r="C61" t="s">
        <v>13</v>
      </c>
      <c r="D61">
        <v>42</v>
      </c>
      <c r="E61">
        <v>58</v>
      </c>
      <c r="F61" s="1">
        <v>45187</v>
      </c>
      <c r="G61" s="1">
        <v>45188</v>
      </c>
      <c r="H61">
        <v>26614.52</v>
      </c>
      <c r="I61">
        <f>HospitalData[[#This Row],[Discharge Date]]-HospitalData[[#This Row],[Admission Date]]</f>
        <v>1</v>
      </c>
    </row>
    <row r="62" spans="1:9">
      <c r="A62" t="s">
        <v>28</v>
      </c>
      <c r="B62" t="s">
        <v>14</v>
      </c>
      <c r="C62" t="s">
        <v>18</v>
      </c>
      <c r="D62">
        <v>21</v>
      </c>
      <c r="E62">
        <v>50</v>
      </c>
      <c r="F62" s="1">
        <v>45099</v>
      </c>
      <c r="G62" s="1">
        <v>45104</v>
      </c>
      <c r="H62">
        <v>10978.18</v>
      </c>
      <c r="I62">
        <f>HospitalData[[#This Row],[Discharge Date]]-HospitalData[[#This Row],[Admission Date]]</f>
        <v>5</v>
      </c>
    </row>
    <row r="63" spans="1:9">
      <c r="A63" t="s">
        <v>23</v>
      </c>
      <c r="B63" t="s">
        <v>35</v>
      </c>
      <c r="C63" t="s">
        <v>13</v>
      </c>
      <c r="D63">
        <v>21</v>
      </c>
      <c r="E63">
        <v>66</v>
      </c>
      <c r="F63" s="1">
        <v>45289</v>
      </c>
      <c r="G63" s="1">
        <v>45304</v>
      </c>
      <c r="H63">
        <v>31175.27</v>
      </c>
      <c r="I63">
        <f>HospitalData[[#This Row],[Discharge Date]]-HospitalData[[#This Row],[Admission Date]]</f>
        <v>15</v>
      </c>
    </row>
    <row r="64" spans="1:9">
      <c r="A64" t="s">
        <v>33</v>
      </c>
      <c r="B64" t="s">
        <v>12</v>
      </c>
      <c r="C64" t="s">
        <v>10</v>
      </c>
      <c r="D64">
        <v>31</v>
      </c>
      <c r="E64">
        <v>122</v>
      </c>
      <c r="F64" s="1">
        <v>45240</v>
      </c>
      <c r="G64" s="1">
        <v>45243</v>
      </c>
      <c r="H64">
        <v>44290.86</v>
      </c>
      <c r="I64">
        <f>HospitalData[[#This Row],[Discharge Date]]-HospitalData[[#This Row],[Admission Date]]</f>
        <v>3</v>
      </c>
    </row>
    <row r="65" spans="1:9">
      <c r="A65" t="s">
        <v>16</v>
      </c>
      <c r="B65" t="s">
        <v>37</v>
      </c>
      <c r="C65" t="s">
        <v>13</v>
      </c>
      <c r="D65">
        <v>26</v>
      </c>
      <c r="E65">
        <v>85</v>
      </c>
      <c r="F65" s="1">
        <v>45194</v>
      </c>
      <c r="G65" s="1">
        <v>45198</v>
      </c>
      <c r="H65">
        <v>7502.64</v>
      </c>
      <c r="I65">
        <f>HospitalData[[#This Row],[Discharge Date]]-HospitalData[[#This Row],[Admission Date]]</f>
        <v>4</v>
      </c>
    </row>
    <row r="66" spans="1:9">
      <c r="A66" t="s">
        <v>36</v>
      </c>
      <c r="B66" t="s">
        <v>31</v>
      </c>
      <c r="C66" t="s">
        <v>13</v>
      </c>
      <c r="D66">
        <v>31</v>
      </c>
      <c r="E66">
        <v>75</v>
      </c>
      <c r="F66" s="1">
        <v>45083</v>
      </c>
      <c r="G66" s="1">
        <v>45088</v>
      </c>
      <c r="H66">
        <v>7121.37</v>
      </c>
      <c r="I66">
        <f>HospitalData[[#This Row],[Discharge Date]]-HospitalData[[#This Row],[Admission Date]]</f>
        <v>5</v>
      </c>
    </row>
    <row r="67" spans="1:9">
      <c r="A67" t="s">
        <v>16</v>
      </c>
      <c r="B67" t="s">
        <v>25</v>
      </c>
      <c r="C67" t="s">
        <v>18</v>
      </c>
      <c r="D67">
        <v>39</v>
      </c>
      <c r="E67">
        <v>70</v>
      </c>
      <c r="F67" s="1">
        <v>45135</v>
      </c>
      <c r="G67" s="1">
        <v>45142</v>
      </c>
      <c r="H67">
        <v>48241</v>
      </c>
      <c r="I67">
        <f>HospitalData[[#This Row],[Discharge Date]]-HospitalData[[#This Row],[Admission Date]]</f>
        <v>7</v>
      </c>
    </row>
    <row r="68" spans="1:9">
      <c r="A68" t="s">
        <v>19</v>
      </c>
      <c r="B68" t="s">
        <v>14</v>
      </c>
      <c r="C68" t="s">
        <v>34</v>
      </c>
      <c r="D68">
        <v>14</v>
      </c>
      <c r="E68">
        <v>91</v>
      </c>
      <c r="F68" s="1">
        <v>45127</v>
      </c>
      <c r="G68" s="1">
        <v>45141</v>
      </c>
      <c r="H68">
        <v>33446.239999999998</v>
      </c>
      <c r="I68">
        <f>HospitalData[[#This Row],[Discharge Date]]-HospitalData[[#This Row],[Admission Date]]</f>
        <v>14</v>
      </c>
    </row>
    <row r="69" spans="1:9">
      <c r="A69" t="s">
        <v>11</v>
      </c>
      <c r="B69" t="s">
        <v>37</v>
      </c>
      <c r="C69" t="s">
        <v>13</v>
      </c>
      <c r="D69">
        <v>14</v>
      </c>
      <c r="E69">
        <v>62</v>
      </c>
      <c r="F69" s="1">
        <v>45277</v>
      </c>
      <c r="G69" s="1">
        <v>45290</v>
      </c>
      <c r="H69">
        <v>13590.65</v>
      </c>
      <c r="I69">
        <f>HospitalData[[#This Row],[Discharge Date]]-HospitalData[[#This Row],[Admission Date]]</f>
        <v>13</v>
      </c>
    </row>
    <row r="70" spans="1:9">
      <c r="A70" t="s">
        <v>19</v>
      </c>
      <c r="B70" t="s">
        <v>9</v>
      </c>
      <c r="C70" t="s">
        <v>21</v>
      </c>
      <c r="D70">
        <v>28</v>
      </c>
      <c r="E70">
        <v>84</v>
      </c>
      <c r="F70" s="1">
        <v>44965</v>
      </c>
      <c r="G70" s="1">
        <v>44979</v>
      </c>
      <c r="H70">
        <v>20849.310000000001</v>
      </c>
      <c r="I70">
        <f>HospitalData[[#This Row],[Discharge Date]]-HospitalData[[#This Row],[Admission Date]]</f>
        <v>14</v>
      </c>
    </row>
    <row r="71" spans="1:9">
      <c r="A71" t="s">
        <v>27</v>
      </c>
      <c r="B71" t="s">
        <v>17</v>
      </c>
      <c r="C71" t="s">
        <v>34</v>
      </c>
      <c r="D71">
        <v>35</v>
      </c>
      <c r="E71">
        <v>57</v>
      </c>
      <c r="F71" s="1">
        <v>45147</v>
      </c>
      <c r="G71" s="1">
        <v>45157</v>
      </c>
      <c r="H71">
        <v>4388.33</v>
      </c>
      <c r="I71">
        <f>HospitalData[[#This Row],[Discharge Date]]-HospitalData[[#This Row],[Admission Date]]</f>
        <v>10</v>
      </c>
    </row>
    <row r="72" spans="1:9">
      <c r="A72" t="s">
        <v>28</v>
      </c>
      <c r="B72" t="s">
        <v>12</v>
      </c>
      <c r="C72" t="s">
        <v>15</v>
      </c>
      <c r="D72">
        <v>5</v>
      </c>
      <c r="E72">
        <v>41</v>
      </c>
      <c r="F72" s="1">
        <v>45016</v>
      </c>
      <c r="G72" s="1">
        <v>45021</v>
      </c>
      <c r="H72">
        <v>23916.63</v>
      </c>
      <c r="I72">
        <f>HospitalData[[#This Row],[Discharge Date]]-HospitalData[[#This Row],[Admission Date]]</f>
        <v>5</v>
      </c>
    </row>
    <row r="73" spans="1:9">
      <c r="A73" t="s">
        <v>16</v>
      </c>
      <c r="B73" t="s">
        <v>37</v>
      </c>
      <c r="C73" t="s">
        <v>18</v>
      </c>
      <c r="D73">
        <v>29</v>
      </c>
      <c r="E73">
        <v>54</v>
      </c>
      <c r="F73" s="1">
        <v>45221</v>
      </c>
      <c r="G73" s="1">
        <v>45235</v>
      </c>
      <c r="H73">
        <v>5084.1099999999997</v>
      </c>
      <c r="I73">
        <f>HospitalData[[#This Row],[Discharge Date]]-HospitalData[[#This Row],[Admission Date]]</f>
        <v>14</v>
      </c>
    </row>
    <row r="74" spans="1:9">
      <c r="A74" t="s">
        <v>24</v>
      </c>
      <c r="B74" t="s">
        <v>14</v>
      </c>
      <c r="C74" t="s">
        <v>34</v>
      </c>
      <c r="D74">
        <v>28</v>
      </c>
      <c r="E74">
        <v>102</v>
      </c>
      <c r="F74" s="1">
        <v>45273</v>
      </c>
      <c r="G74" s="1">
        <v>45280</v>
      </c>
      <c r="H74">
        <v>23328.9</v>
      </c>
      <c r="I74">
        <f>HospitalData[[#This Row],[Discharge Date]]-HospitalData[[#This Row],[Admission Date]]</f>
        <v>7</v>
      </c>
    </row>
    <row r="75" spans="1:9">
      <c r="A75" t="s">
        <v>19</v>
      </c>
      <c r="B75" t="s">
        <v>35</v>
      </c>
      <c r="C75" t="s">
        <v>15</v>
      </c>
      <c r="D75">
        <v>41</v>
      </c>
      <c r="E75">
        <v>27</v>
      </c>
      <c r="F75" s="1">
        <v>44977</v>
      </c>
      <c r="G75" s="1">
        <v>44991</v>
      </c>
      <c r="H75">
        <v>33417.279999999999</v>
      </c>
      <c r="I75">
        <f>HospitalData[[#This Row],[Discharge Date]]-HospitalData[[#This Row],[Admission Date]]</f>
        <v>14</v>
      </c>
    </row>
    <row r="76" spans="1:9">
      <c r="A76" t="s">
        <v>28</v>
      </c>
      <c r="B76" t="s">
        <v>25</v>
      </c>
      <c r="C76" t="s">
        <v>32</v>
      </c>
      <c r="D76">
        <v>6</v>
      </c>
      <c r="E76">
        <v>110</v>
      </c>
      <c r="F76" s="1">
        <v>45190</v>
      </c>
      <c r="G76" s="1">
        <v>45205</v>
      </c>
      <c r="H76">
        <v>36545.43</v>
      </c>
      <c r="I76">
        <f>HospitalData[[#This Row],[Discharge Date]]-HospitalData[[#This Row],[Admission Date]]</f>
        <v>15</v>
      </c>
    </row>
    <row r="77" spans="1:9">
      <c r="A77" t="s">
        <v>33</v>
      </c>
      <c r="B77" t="s">
        <v>25</v>
      </c>
      <c r="C77" t="s">
        <v>22</v>
      </c>
      <c r="D77">
        <v>19</v>
      </c>
      <c r="E77">
        <v>31</v>
      </c>
      <c r="F77" s="1">
        <v>45108</v>
      </c>
      <c r="G77" s="1">
        <v>45122</v>
      </c>
      <c r="H77">
        <v>43687.01</v>
      </c>
      <c r="I77">
        <f>HospitalData[[#This Row],[Discharge Date]]-HospitalData[[#This Row],[Admission Date]]</f>
        <v>14</v>
      </c>
    </row>
    <row r="78" spans="1:9">
      <c r="A78" t="s">
        <v>33</v>
      </c>
      <c r="B78" t="s">
        <v>20</v>
      </c>
      <c r="C78" t="s">
        <v>32</v>
      </c>
      <c r="D78">
        <v>7</v>
      </c>
      <c r="E78">
        <v>50</v>
      </c>
      <c r="F78" s="1">
        <v>45140</v>
      </c>
      <c r="G78" s="1">
        <v>45145</v>
      </c>
      <c r="H78">
        <v>13902.24</v>
      </c>
      <c r="I78">
        <f>HospitalData[[#This Row],[Discharge Date]]-HospitalData[[#This Row],[Admission Date]]</f>
        <v>5</v>
      </c>
    </row>
    <row r="79" spans="1:9">
      <c r="A79" t="s">
        <v>24</v>
      </c>
      <c r="B79" t="s">
        <v>29</v>
      </c>
      <c r="C79" t="s">
        <v>34</v>
      </c>
      <c r="D79">
        <v>32</v>
      </c>
      <c r="E79">
        <v>56</v>
      </c>
      <c r="F79" s="1">
        <v>44937</v>
      </c>
      <c r="G79" s="1">
        <v>44952</v>
      </c>
      <c r="H79">
        <v>22456.61</v>
      </c>
      <c r="I79">
        <f>HospitalData[[#This Row],[Discharge Date]]-HospitalData[[#This Row],[Admission Date]]</f>
        <v>15</v>
      </c>
    </row>
    <row r="80" spans="1:9">
      <c r="A80" t="s">
        <v>36</v>
      </c>
      <c r="B80" t="s">
        <v>9</v>
      </c>
      <c r="C80" t="s">
        <v>18</v>
      </c>
      <c r="D80">
        <v>28</v>
      </c>
      <c r="E80">
        <v>154</v>
      </c>
      <c r="F80" s="1">
        <v>45173</v>
      </c>
      <c r="G80" s="1">
        <v>45188</v>
      </c>
      <c r="H80">
        <v>23012.639999999999</v>
      </c>
      <c r="I80">
        <f>HospitalData[[#This Row],[Discharge Date]]-HospitalData[[#This Row],[Admission Date]]</f>
        <v>15</v>
      </c>
    </row>
    <row r="81" spans="1:9">
      <c r="A81" t="s">
        <v>16</v>
      </c>
      <c r="B81" t="s">
        <v>31</v>
      </c>
      <c r="C81" t="s">
        <v>34</v>
      </c>
      <c r="D81">
        <v>44</v>
      </c>
      <c r="E81">
        <v>194</v>
      </c>
      <c r="F81" s="1">
        <v>45156</v>
      </c>
      <c r="G81" s="1">
        <v>45165</v>
      </c>
      <c r="H81">
        <v>33963.65</v>
      </c>
      <c r="I81">
        <f>HospitalData[[#This Row],[Discharge Date]]-HospitalData[[#This Row],[Admission Date]]</f>
        <v>9</v>
      </c>
    </row>
    <row r="82" spans="1:9">
      <c r="A82" t="s">
        <v>24</v>
      </c>
      <c r="B82" t="s">
        <v>17</v>
      </c>
      <c r="C82" t="s">
        <v>21</v>
      </c>
      <c r="D82">
        <v>40</v>
      </c>
      <c r="E82">
        <v>150</v>
      </c>
      <c r="F82" s="1">
        <v>45047</v>
      </c>
      <c r="G82" s="1">
        <v>45048</v>
      </c>
      <c r="H82">
        <v>9775.99</v>
      </c>
      <c r="I82">
        <f>HospitalData[[#This Row],[Discharge Date]]-HospitalData[[#This Row],[Admission Date]]</f>
        <v>1</v>
      </c>
    </row>
    <row r="83" spans="1:9">
      <c r="A83" t="s">
        <v>36</v>
      </c>
      <c r="B83" t="s">
        <v>14</v>
      </c>
      <c r="C83" t="s">
        <v>18</v>
      </c>
      <c r="D83">
        <v>38</v>
      </c>
      <c r="E83">
        <v>108</v>
      </c>
      <c r="F83" s="1">
        <v>45024</v>
      </c>
      <c r="G83" s="1">
        <v>45036</v>
      </c>
      <c r="H83">
        <v>17211.57</v>
      </c>
      <c r="I83">
        <f>HospitalData[[#This Row],[Discharge Date]]-HospitalData[[#This Row],[Admission Date]]</f>
        <v>12</v>
      </c>
    </row>
    <row r="84" spans="1:9">
      <c r="A84" t="s">
        <v>23</v>
      </c>
      <c r="B84" t="s">
        <v>14</v>
      </c>
      <c r="C84" t="s">
        <v>18</v>
      </c>
      <c r="D84">
        <v>17</v>
      </c>
      <c r="E84">
        <v>29</v>
      </c>
      <c r="F84" s="1">
        <v>44942</v>
      </c>
      <c r="G84" s="1">
        <v>44951</v>
      </c>
      <c r="H84">
        <v>17999.48</v>
      </c>
      <c r="I84">
        <f>HospitalData[[#This Row],[Discharge Date]]-HospitalData[[#This Row],[Admission Date]]</f>
        <v>9</v>
      </c>
    </row>
    <row r="85" spans="1:9">
      <c r="A85" t="s">
        <v>36</v>
      </c>
      <c r="B85" t="s">
        <v>17</v>
      </c>
      <c r="C85" t="s">
        <v>30</v>
      </c>
      <c r="D85">
        <v>43</v>
      </c>
      <c r="E85">
        <v>96</v>
      </c>
      <c r="F85" s="1">
        <v>44961</v>
      </c>
      <c r="G85" s="1">
        <v>44962</v>
      </c>
      <c r="H85">
        <v>42883.43</v>
      </c>
      <c r="I85">
        <f>HospitalData[[#This Row],[Discharge Date]]-HospitalData[[#This Row],[Admission Date]]</f>
        <v>1</v>
      </c>
    </row>
    <row r="86" spans="1:9">
      <c r="A86" t="s">
        <v>23</v>
      </c>
      <c r="B86" t="s">
        <v>35</v>
      </c>
      <c r="C86" t="s">
        <v>32</v>
      </c>
      <c r="D86">
        <v>21</v>
      </c>
      <c r="E86">
        <v>151</v>
      </c>
      <c r="F86" s="1">
        <v>45084</v>
      </c>
      <c r="G86" s="1">
        <v>45086</v>
      </c>
      <c r="H86">
        <v>2854.22</v>
      </c>
      <c r="I86">
        <f>HospitalData[[#This Row],[Discharge Date]]-HospitalData[[#This Row],[Admission Date]]</f>
        <v>2</v>
      </c>
    </row>
    <row r="87" spans="1:9">
      <c r="A87" t="s">
        <v>33</v>
      </c>
      <c r="B87" t="s">
        <v>25</v>
      </c>
      <c r="C87" t="s">
        <v>34</v>
      </c>
      <c r="D87">
        <v>40</v>
      </c>
      <c r="E87">
        <v>88</v>
      </c>
      <c r="F87" s="1">
        <v>45007</v>
      </c>
      <c r="G87" s="1">
        <v>45010</v>
      </c>
      <c r="H87">
        <v>8333.48</v>
      </c>
      <c r="I87">
        <f>HospitalData[[#This Row],[Discharge Date]]-HospitalData[[#This Row],[Admission Date]]</f>
        <v>3</v>
      </c>
    </row>
    <row r="88" spans="1:9">
      <c r="A88" t="s">
        <v>19</v>
      </c>
      <c r="B88" t="s">
        <v>14</v>
      </c>
      <c r="C88" t="s">
        <v>18</v>
      </c>
      <c r="D88">
        <v>25</v>
      </c>
      <c r="E88">
        <v>131</v>
      </c>
      <c r="F88" s="1">
        <v>45107</v>
      </c>
      <c r="G88" s="1">
        <v>45109</v>
      </c>
      <c r="H88">
        <v>47678.73</v>
      </c>
      <c r="I88">
        <f>HospitalData[[#This Row],[Discharge Date]]-HospitalData[[#This Row],[Admission Date]]</f>
        <v>2</v>
      </c>
    </row>
    <row r="89" spans="1:9">
      <c r="A89" t="s">
        <v>11</v>
      </c>
      <c r="B89" t="s">
        <v>14</v>
      </c>
      <c r="C89" t="s">
        <v>30</v>
      </c>
      <c r="D89">
        <v>9</v>
      </c>
      <c r="E89">
        <v>106</v>
      </c>
      <c r="F89" s="1">
        <v>45244</v>
      </c>
      <c r="G89" s="1">
        <v>45251</v>
      </c>
      <c r="H89">
        <v>44526.27</v>
      </c>
      <c r="I89">
        <f>HospitalData[[#This Row],[Discharge Date]]-HospitalData[[#This Row],[Admission Date]]</f>
        <v>7</v>
      </c>
    </row>
    <row r="90" spans="1:9">
      <c r="A90" t="s">
        <v>28</v>
      </c>
      <c r="B90" t="s">
        <v>12</v>
      </c>
      <c r="C90" t="s">
        <v>26</v>
      </c>
      <c r="D90">
        <v>48</v>
      </c>
      <c r="E90">
        <v>25</v>
      </c>
      <c r="F90" s="1">
        <v>45215</v>
      </c>
      <c r="G90" s="1">
        <v>45227</v>
      </c>
      <c r="H90">
        <v>4514.63</v>
      </c>
      <c r="I90">
        <f>HospitalData[[#This Row],[Discharge Date]]-HospitalData[[#This Row],[Admission Date]]</f>
        <v>12</v>
      </c>
    </row>
    <row r="91" spans="1:9">
      <c r="A91" t="s">
        <v>36</v>
      </c>
      <c r="B91" t="s">
        <v>14</v>
      </c>
      <c r="C91" t="s">
        <v>21</v>
      </c>
      <c r="D91">
        <v>23</v>
      </c>
      <c r="E91">
        <v>20</v>
      </c>
      <c r="F91" s="1">
        <v>45033</v>
      </c>
      <c r="G91" s="1">
        <v>45038</v>
      </c>
      <c r="H91">
        <v>25418.26</v>
      </c>
      <c r="I91">
        <f>HospitalData[[#This Row],[Discharge Date]]-HospitalData[[#This Row],[Admission Date]]</f>
        <v>5</v>
      </c>
    </row>
    <row r="92" spans="1:9">
      <c r="A92" t="s">
        <v>23</v>
      </c>
      <c r="B92" t="s">
        <v>12</v>
      </c>
      <c r="C92" t="s">
        <v>10</v>
      </c>
      <c r="D92">
        <v>6</v>
      </c>
      <c r="E92">
        <v>48</v>
      </c>
      <c r="F92" s="1">
        <v>45118</v>
      </c>
      <c r="G92" s="1">
        <v>45131</v>
      </c>
      <c r="H92">
        <v>46666.48</v>
      </c>
      <c r="I92">
        <f>HospitalData[[#This Row],[Discharge Date]]-HospitalData[[#This Row],[Admission Date]]</f>
        <v>13</v>
      </c>
    </row>
    <row r="93" spans="1:9">
      <c r="A93" t="s">
        <v>11</v>
      </c>
      <c r="B93" t="s">
        <v>17</v>
      </c>
      <c r="C93" t="s">
        <v>13</v>
      </c>
      <c r="D93">
        <v>19</v>
      </c>
      <c r="E93">
        <v>152</v>
      </c>
      <c r="F93" s="1">
        <v>45187</v>
      </c>
      <c r="G93" s="1">
        <v>45188</v>
      </c>
      <c r="H93">
        <v>39298.300000000003</v>
      </c>
      <c r="I93">
        <f>HospitalData[[#This Row],[Discharge Date]]-HospitalData[[#This Row],[Admission Date]]</f>
        <v>1</v>
      </c>
    </row>
    <row r="94" spans="1:9">
      <c r="A94" t="s">
        <v>33</v>
      </c>
      <c r="B94" t="s">
        <v>35</v>
      </c>
      <c r="C94" t="s">
        <v>26</v>
      </c>
      <c r="D94">
        <v>24</v>
      </c>
      <c r="E94">
        <v>43</v>
      </c>
      <c r="F94" s="1">
        <v>45198</v>
      </c>
      <c r="G94" s="1">
        <v>45200</v>
      </c>
      <c r="H94">
        <v>45451.78</v>
      </c>
      <c r="I94">
        <f>HospitalData[[#This Row],[Discharge Date]]-HospitalData[[#This Row],[Admission Date]]</f>
        <v>2</v>
      </c>
    </row>
    <row r="95" spans="1:9">
      <c r="A95" t="s">
        <v>23</v>
      </c>
      <c r="B95" t="s">
        <v>25</v>
      </c>
      <c r="C95" t="s">
        <v>15</v>
      </c>
      <c r="D95">
        <v>43</v>
      </c>
      <c r="E95">
        <v>133</v>
      </c>
      <c r="F95" s="1">
        <v>44953</v>
      </c>
      <c r="G95" s="1">
        <v>44968</v>
      </c>
      <c r="H95">
        <v>24556.18</v>
      </c>
      <c r="I95">
        <f>HospitalData[[#This Row],[Discharge Date]]-HospitalData[[#This Row],[Admission Date]]</f>
        <v>15</v>
      </c>
    </row>
    <row r="96" spans="1:9">
      <c r="A96" t="s">
        <v>27</v>
      </c>
      <c r="B96" t="s">
        <v>20</v>
      </c>
      <c r="C96" t="s">
        <v>22</v>
      </c>
      <c r="D96">
        <v>20</v>
      </c>
      <c r="E96">
        <v>77</v>
      </c>
      <c r="F96" s="1">
        <v>44992</v>
      </c>
      <c r="G96" s="1">
        <v>45003</v>
      </c>
      <c r="H96">
        <v>7146.07</v>
      </c>
      <c r="I96">
        <f>HospitalData[[#This Row],[Discharge Date]]-HospitalData[[#This Row],[Admission Date]]</f>
        <v>11</v>
      </c>
    </row>
    <row r="97" spans="1:9">
      <c r="A97" t="s">
        <v>8</v>
      </c>
      <c r="B97" t="s">
        <v>37</v>
      </c>
      <c r="C97" t="s">
        <v>21</v>
      </c>
      <c r="D97">
        <v>28</v>
      </c>
      <c r="E97">
        <v>126</v>
      </c>
      <c r="F97" s="1">
        <v>45259</v>
      </c>
      <c r="G97" s="1">
        <v>45270</v>
      </c>
      <c r="H97">
        <v>21065.59</v>
      </c>
      <c r="I97">
        <f>HospitalData[[#This Row],[Discharge Date]]-HospitalData[[#This Row],[Admission Date]]</f>
        <v>11</v>
      </c>
    </row>
    <row r="98" spans="1:9">
      <c r="A98" t="s">
        <v>16</v>
      </c>
      <c r="B98" t="s">
        <v>25</v>
      </c>
      <c r="C98" t="s">
        <v>26</v>
      </c>
      <c r="D98">
        <v>26</v>
      </c>
      <c r="E98">
        <v>169</v>
      </c>
      <c r="F98" s="1">
        <v>44975</v>
      </c>
      <c r="G98" s="1">
        <v>44976</v>
      </c>
      <c r="H98">
        <v>41677.339999999997</v>
      </c>
      <c r="I98">
        <f>HospitalData[[#This Row],[Discharge Date]]-HospitalData[[#This Row],[Admission Date]]</f>
        <v>1</v>
      </c>
    </row>
    <row r="99" spans="1:9">
      <c r="A99" t="s">
        <v>28</v>
      </c>
      <c r="B99" t="s">
        <v>37</v>
      </c>
      <c r="C99" t="s">
        <v>22</v>
      </c>
      <c r="D99">
        <v>40</v>
      </c>
      <c r="E99">
        <v>193</v>
      </c>
      <c r="F99" s="1">
        <v>45231</v>
      </c>
      <c r="G99" s="1">
        <v>45245</v>
      </c>
      <c r="H99">
        <v>47625.7</v>
      </c>
      <c r="I99">
        <f>HospitalData[[#This Row],[Discharge Date]]-HospitalData[[#This Row],[Admission Date]]</f>
        <v>14</v>
      </c>
    </row>
    <row r="100" spans="1:9">
      <c r="A100" t="s">
        <v>36</v>
      </c>
      <c r="B100" t="s">
        <v>31</v>
      </c>
      <c r="C100" t="s">
        <v>34</v>
      </c>
      <c r="D100">
        <v>42</v>
      </c>
      <c r="E100">
        <v>163</v>
      </c>
      <c r="F100" s="1">
        <v>45065</v>
      </c>
      <c r="G100" s="1">
        <v>45072</v>
      </c>
      <c r="H100">
        <v>8684.16</v>
      </c>
      <c r="I100">
        <f>HospitalData[[#This Row],[Discharge Date]]-HospitalData[[#This Row],[Admission Date]]</f>
        <v>7</v>
      </c>
    </row>
    <row r="101" spans="1:9">
      <c r="A101" t="s">
        <v>28</v>
      </c>
      <c r="B101" t="s">
        <v>37</v>
      </c>
      <c r="C101" t="s">
        <v>18</v>
      </c>
      <c r="D101">
        <v>14</v>
      </c>
      <c r="E101">
        <v>37</v>
      </c>
      <c r="F101" s="1">
        <v>45269</v>
      </c>
      <c r="G101" s="1">
        <v>45275</v>
      </c>
      <c r="H101">
        <v>17213.05</v>
      </c>
      <c r="I101">
        <f>HospitalData[[#This Row],[Discharge Date]]-HospitalData[[#This Row],[Admission Date]]</f>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32335-273E-4EF9-8603-56E3B9FA8853}">
  <dimension ref="A1:AD31"/>
  <sheetViews>
    <sheetView tabSelected="1" zoomScale="89" zoomScaleNormal="89" workbookViewId="0">
      <selection activeCell="AD8" sqref="AD8"/>
    </sheetView>
  </sheetViews>
  <sheetFormatPr defaultRowHeight="14.4"/>
  <cols>
    <col min="1" max="1" width="8.21875" style="35" customWidth="1"/>
    <col min="2" max="2" width="5.21875" customWidth="1"/>
    <col min="3" max="3" width="5.5546875" customWidth="1"/>
    <col min="4" max="5" width="9" customWidth="1"/>
    <col min="6" max="6" width="3.44140625" customWidth="1"/>
    <col min="7" max="7" width="5.5546875" customWidth="1"/>
    <col min="8" max="9" width="9" customWidth="1"/>
    <col min="10" max="10" width="3.44140625" customWidth="1"/>
    <col min="11" max="11" width="5.5546875" customWidth="1"/>
    <col min="12" max="13" width="9" customWidth="1"/>
    <col min="14" max="14" width="3.44140625" customWidth="1"/>
    <col min="15" max="15" width="5.5546875" customWidth="1"/>
    <col min="16" max="17" width="9" customWidth="1"/>
    <col min="18" max="18" width="3.44140625" customWidth="1"/>
    <col min="19" max="19" width="5.5546875" customWidth="1"/>
    <col min="20" max="21" width="9" customWidth="1"/>
    <col min="22" max="22" width="13.6640625" customWidth="1"/>
    <col min="23" max="28" width="9" customWidth="1"/>
    <col min="29" max="29" width="8.21875" customWidth="1"/>
    <col min="30" max="30" width="8.88671875" style="35"/>
  </cols>
  <sheetData>
    <row r="1" spans="2:29" s="35" customFormat="1" ht="8.4" customHeight="1" thickBot="1"/>
    <row r="2" spans="2:29" ht="8.4" customHeight="1" thickBot="1">
      <c r="B2" s="21"/>
      <c r="C2" s="22"/>
      <c r="D2" s="22"/>
      <c r="E2" s="22"/>
      <c r="F2" s="22"/>
      <c r="G2" s="22"/>
      <c r="H2" s="22"/>
      <c r="I2" s="22"/>
      <c r="J2" s="22"/>
      <c r="K2" s="22"/>
      <c r="L2" s="22"/>
      <c r="M2" s="22"/>
      <c r="N2" s="22"/>
      <c r="O2" s="22"/>
      <c r="P2" s="22"/>
      <c r="Q2" s="22"/>
      <c r="R2" s="22"/>
      <c r="S2" s="22"/>
      <c r="T2" s="22"/>
      <c r="U2" s="22"/>
      <c r="V2" s="22"/>
      <c r="W2" s="22"/>
      <c r="X2" s="22"/>
      <c r="Y2" s="22"/>
      <c r="Z2" s="22"/>
      <c r="AA2" s="22"/>
      <c r="AB2" s="22"/>
      <c r="AC2" s="23"/>
    </row>
    <row r="3" spans="2:29" ht="32.4" thickBot="1">
      <c r="B3" s="24"/>
      <c r="C3" s="29" t="s">
        <v>156</v>
      </c>
      <c r="D3" s="30"/>
      <c r="E3" s="30"/>
      <c r="F3" s="30"/>
      <c r="G3" s="30"/>
      <c r="H3" s="30"/>
      <c r="I3" s="30"/>
      <c r="J3" s="30"/>
      <c r="K3" s="30"/>
      <c r="L3" s="30"/>
      <c r="M3" s="30"/>
      <c r="N3" s="30"/>
      <c r="O3" s="30"/>
      <c r="P3" s="30"/>
      <c r="Q3" s="30"/>
      <c r="R3" s="30"/>
      <c r="S3" s="30"/>
      <c r="T3" s="30"/>
      <c r="U3" s="31"/>
      <c r="V3" s="11"/>
      <c r="W3" s="11"/>
      <c r="X3" s="11"/>
      <c r="Y3" s="11"/>
      <c r="Z3" s="11"/>
      <c r="AA3" s="11"/>
      <c r="AB3" s="11"/>
      <c r="AC3" s="25"/>
    </row>
    <row r="4" spans="2:29" ht="15" thickBot="1">
      <c r="B4" s="24"/>
      <c r="C4" s="11"/>
      <c r="D4" s="11"/>
      <c r="E4" s="11"/>
      <c r="F4" s="11"/>
      <c r="G4" s="11"/>
      <c r="H4" s="11"/>
      <c r="I4" s="11"/>
      <c r="J4" s="11"/>
      <c r="K4" s="11"/>
      <c r="L4" s="11"/>
      <c r="M4" s="11"/>
      <c r="N4" s="11"/>
      <c r="O4" s="11"/>
      <c r="P4" s="11"/>
      <c r="Q4" s="11"/>
      <c r="R4" s="11"/>
      <c r="S4" s="11"/>
      <c r="T4" s="11"/>
      <c r="U4" s="11"/>
      <c r="V4" s="11"/>
      <c r="W4" s="11"/>
      <c r="X4" s="11"/>
      <c r="Y4" s="11"/>
      <c r="Z4" s="11"/>
      <c r="AA4" s="11"/>
      <c r="AB4" s="11"/>
      <c r="AC4" s="25"/>
    </row>
    <row r="5" spans="2:29" ht="14.4" customHeight="1">
      <c r="B5" s="24"/>
      <c r="C5" s="32" t="s">
        <v>38</v>
      </c>
      <c r="D5" s="33"/>
      <c r="E5" s="34"/>
      <c r="F5" s="12"/>
      <c r="G5" s="32" t="s">
        <v>39</v>
      </c>
      <c r="H5" s="33"/>
      <c r="I5" s="34"/>
      <c r="J5" s="12"/>
      <c r="K5" s="32" t="s">
        <v>40</v>
      </c>
      <c r="L5" s="33"/>
      <c r="M5" s="34"/>
      <c r="N5" s="12"/>
      <c r="O5" s="32" t="s">
        <v>42</v>
      </c>
      <c r="P5" s="33"/>
      <c r="Q5" s="34"/>
      <c r="R5" s="12"/>
      <c r="S5" s="32" t="s">
        <v>157</v>
      </c>
      <c r="T5" s="33"/>
      <c r="U5" s="34"/>
      <c r="V5" s="13"/>
      <c r="W5" s="13"/>
      <c r="X5" s="13"/>
      <c r="Y5" s="13"/>
      <c r="Z5" s="13"/>
      <c r="AA5" s="13"/>
      <c r="AB5" s="13"/>
      <c r="AC5" s="25"/>
    </row>
    <row r="6" spans="2:29" ht="18.600000000000001" thickBot="1">
      <c r="B6" s="24"/>
      <c r="C6" s="15">
        <f>SUM(HospitalData!E2:E101)</f>
        <v>9347</v>
      </c>
      <c r="D6" s="16"/>
      <c r="E6" s="17"/>
      <c r="F6" s="13"/>
      <c r="G6" s="18">
        <f>SUM(HospitalData!H2:H101)</f>
        <v>2717311.0599999996</v>
      </c>
      <c r="H6" s="19"/>
      <c r="I6" s="20"/>
      <c r="J6" s="14"/>
      <c r="K6" s="18">
        <f>AVERAGE(HospitalData!I2:I101)</f>
        <v>7.95</v>
      </c>
      <c r="L6" s="19"/>
      <c r="M6" s="20"/>
      <c r="N6" s="14"/>
      <c r="O6" s="15">
        <f>SUM(HospitalData!D2:D101)</f>
        <v>2671</v>
      </c>
      <c r="P6" s="16"/>
      <c r="Q6" s="17"/>
      <c r="R6" s="13"/>
      <c r="S6" s="15">
        <f>COUNTA((HospitalData!C2:C101))</f>
        <v>100</v>
      </c>
      <c r="T6" s="16"/>
      <c r="U6" s="17"/>
      <c r="V6" s="13"/>
      <c r="W6" s="13"/>
      <c r="X6" s="13"/>
      <c r="Y6" s="13"/>
      <c r="Z6" s="13"/>
      <c r="AA6" s="13"/>
      <c r="AB6" s="13"/>
      <c r="AC6" s="25"/>
    </row>
    <row r="7" spans="2:29">
      <c r="B7" s="24"/>
      <c r="C7" s="11"/>
      <c r="D7" s="11"/>
      <c r="E7" s="11"/>
      <c r="F7" s="11"/>
      <c r="G7" s="11"/>
      <c r="H7" s="11"/>
      <c r="I7" s="11"/>
      <c r="J7" s="11"/>
      <c r="K7" s="11"/>
      <c r="L7" s="11"/>
      <c r="M7" s="11"/>
      <c r="N7" s="11"/>
      <c r="O7" s="11"/>
      <c r="P7" s="11"/>
      <c r="Q7" s="11"/>
      <c r="R7" s="11"/>
      <c r="S7" s="11"/>
      <c r="T7" s="11"/>
      <c r="U7" s="11"/>
      <c r="V7" s="11"/>
      <c r="W7" s="11"/>
      <c r="X7" s="11"/>
      <c r="Y7" s="11"/>
      <c r="Z7" s="11"/>
      <c r="AA7" s="11"/>
      <c r="AB7" s="11"/>
      <c r="AC7" s="25"/>
    </row>
    <row r="8" spans="2:29">
      <c r="B8" s="24"/>
      <c r="C8" s="11"/>
      <c r="D8" s="11"/>
      <c r="E8" s="11"/>
      <c r="F8" s="11"/>
      <c r="G8" s="11"/>
      <c r="H8" s="11"/>
      <c r="I8" s="11"/>
      <c r="J8" s="11"/>
      <c r="K8" s="11"/>
      <c r="L8" s="11"/>
      <c r="M8" s="11"/>
      <c r="N8" s="11"/>
      <c r="O8" s="11"/>
      <c r="P8" s="11"/>
      <c r="Q8" s="11"/>
      <c r="R8" s="11"/>
      <c r="S8" s="11"/>
      <c r="T8" s="11"/>
      <c r="U8" s="11"/>
      <c r="V8" s="11"/>
      <c r="W8" s="11"/>
      <c r="X8" s="11"/>
      <c r="Y8" s="11"/>
      <c r="Z8" s="11"/>
      <c r="AA8" s="11"/>
      <c r="AB8" s="11"/>
      <c r="AC8" s="25"/>
    </row>
    <row r="9" spans="2:29">
      <c r="B9" s="24"/>
      <c r="C9" s="11"/>
      <c r="D9" s="11"/>
      <c r="E9" s="11"/>
      <c r="F9" s="11"/>
      <c r="G9" s="11"/>
      <c r="H9" s="11"/>
      <c r="I9" s="11"/>
      <c r="J9" s="11"/>
      <c r="K9" s="11"/>
      <c r="L9" s="11"/>
      <c r="M9" s="11"/>
      <c r="N9" s="11"/>
      <c r="O9" s="11"/>
      <c r="P9" s="11"/>
      <c r="Q9" s="11"/>
      <c r="R9" s="11"/>
      <c r="S9" s="11"/>
      <c r="T9" s="11"/>
      <c r="U9" s="11"/>
      <c r="V9" s="11"/>
      <c r="W9" s="11"/>
      <c r="X9" s="11"/>
      <c r="Y9" s="11"/>
      <c r="Z9" s="11"/>
      <c r="AA9" s="11"/>
      <c r="AB9" s="11"/>
      <c r="AC9" s="25"/>
    </row>
    <row r="10" spans="2:29">
      <c r="B10" s="24"/>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25"/>
    </row>
    <row r="11" spans="2:29">
      <c r="B11" s="24"/>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25"/>
    </row>
    <row r="12" spans="2:29">
      <c r="B12" s="24"/>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25"/>
    </row>
    <row r="13" spans="2:29">
      <c r="B13" s="24"/>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25"/>
    </row>
    <row r="14" spans="2:29">
      <c r="B14" s="24"/>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25"/>
    </row>
    <row r="15" spans="2:29">
      <c r="B15" s="24"/>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25"/>
    </row>
    <row r="16" spans="2:29">
      <c r="B16" s="24"/>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25"/>
    </row>
    <row r="17" spans="2:29">
      <c r="B17" s="24"/>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25"/>
    </row>
    <row r="18" spans="2:29">
      <c r="B18" s="24"/>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25"/>
    </row>
    <row r="19" spans="2:29">
      <c r="B19" s="24"/>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25"/>
    </row>
    <row r="20" spans="2:29">
      <c r="B20" s="24"/>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25"/>
    </row>
    <row r="21" spans="2:29">
      <c r="B21" s="24"/>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25"/>
    </row>
    <row r="22" spans="2:29">
      <c r="B22" s="24"/>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25"/>
    </row>
    <row r="23" spans="2:29">
      <c r="B23" s="24"/>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25"/>
    </row>
    <row r="24" spans="2:29">
      <c r="B24" s="24"/>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25"/>
    </row>
    <row r="25" spans="2:29">
      <c r="B25" s="24"/>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25"/>
    </row>
    <row r="26" spans="2:29">
      <c r="B26" s="24"/>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25"/>
    </row>
    <row r="27" spans="2:29">
      <c r="B27" s="24"/>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25"/>
    </row>
    <row r="28" spans="2:29">
      <c r="B28" s="24"/>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25"/>
    </row>
    <row r="29" spans="2:29">
      <c r="B29" s="24"/>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25"/>
    </row>
    <row r="30" spans="2:29" ht="15" thickBot="1">
      <c r="B30" s="26"/>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8"/>
    </row>
    <row r="31" spans="2:29" s="35" customFormat="1"/>
  </sheetData>
  <mergeCells count="11">
    <mergeCell ref="C3:U3"/>
    <mergeCell ref="S5:U5"/>
    <mergeCell ref="S6:U6"/>
    <mergeCell ref="C5:E5"/>
    <mergeCell ref="C6:E6"/>
    <mergeCell ref="G5:I5"/>
    <mergeCell ref="G6:I6"/>
    <mergeCell ref="K5:M5"/>
    <mergeCell ref="K6:M6"/>
    <mergeCell ref="O5:Q5"/>
    <mergeCell ref="O6: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F0975-D324-4736-A550-E74502FF98FB}">
  <dimension ref="B2:R45"/>
  <sheetViews>
    <sheetView zoomScale="70" zoomScaleNormal="70" workbookViewId="0">
      <selection activeCell="R38" sqref="R38"/>
    </sheetView>
  </sheetViews>
  <sheetFormatPr defaultRowHeight="14.4"/>
  <cols>
    <col min="2" max="2" width="20.21875" bestFit="1" customWidth="1"/>
    <col min="3" max="3" width="24.109375" bestFit="1" customWidth="1"/>
    <col min="4" max="4" width="14" bestFit="1" customWidth="1"/>
    <col min="14" max="14" width="12.5546875" bestFit="1" customWidth="1"/>
    <col min="15" max="15" width="5.6640625" customWidth="1"/>
    <col min="17" max="17" width="13.88671875" bestFit="1" customWidth="1"/>
    <col min="18" max="18" width="14.5546875" bestFit="1" customWidth="1"/>
  </cols>
  <sheetData>
    <row r="2" spans="2:18">
      <c r="B2" s="2" t="s">
        <v>44</v>
      </c>
      <c r="C2" t="s">
        <v>46</v>
      </c>
    </row>
    <row r="3" spans="2:18">
      <c r="B3" s="3" t="s">
        <v>32</v>
      </c>
      <c r="C3" s="4">
        <v>544</v>
      </c>
      <c r="Q3" s="2" t="s">
        <v>44</v>
      </c>
      <c r="R3" t="s">
        <v>46</v>
      </c>
    </row>
    <row r="4" spans="2:18">
      <c r="B4" s="3" t="s">
        <v>30</v>
      </c>
      <c r="C4" s="4">
        <v>978</v>
      </c>
      <c r="Q4" s="3" t="s">
        <v>32</v>
      </c>
      <c r="R4" s="4">
        <v>544</v>
      </c>
    </row>
    <row r="5" spans="2:18">
      <c r="B5" s="3" t="s">
        <v>13</v>
      </c>
      <c r="C5" s="4">
        <v>1064</v>
      </c>
      <c r="Q5" s="3" t="s">
        <v>30</v>
      </c>
      <c r="R5" s="4">
        <v>978</v>
      </c>
    </row>
    <row r="6" spans="2:18">
      <c r="B6" s="3" t="s">
        <v>26</v>
      </c>
      <c r="C6" s="4">
        <v>563</v>
      </c>
      <c r="Q6" s="3" t="s">
        <v>13</v>
      </c>
      <c r="R6" s="4">
        <v>1064</v>
      </c>
    </row>
    <row r="7" spans="2:18">
      <c r="B7" s="3" t="s">
        <v>21</v>
      </c>
      <c r="C7" s="4">
        <v>678</v>
      </c>
      <c r="Q7" s="3" t="s">
        <v>26</v>
      </c>
      <c r="R7" s="4">
        <v>563</v>
      </c>
    </row>
    <row r="8" spans="2:18">
      <c r="B8" s="3" t="s">
        <v>34</v>
      </c>
      <c r="C8" s="4">
        <v>1229</v>
      </c>
      <c r="Q8" s="3" t="s">
        <v>21</v>
      </c>
      <c r="R8" s="4">
        <v>678</v>
      </c>
    </row>
    <row r="9" spans="2:18">
      <c r="B9" s="3" t="s">
        <v>22</v>
      </c>
      <c r="C9" s="4">
        <v>770</v>
      </c>
      <c r="Q9" s="3" t="s">
        <v>34</v>
      </c>
      <c r="R9" s="4">
        <v>1229</v>
      </c>
    </row>
    <row r="10" spans="2:18">
      <c r="B10" s="3" t="s">
        <v>10</v>
      </c>
      <c r="C10" s="4">
        <v>762</v>
      </c>
      <c r="Q10" s="3" t="s">
        <v>22</v>
      </c>
      <c r="R10" s="4">
        <v>770</v>
      </c>
    </row>
    <row r="11" spans="2:18">
      <c r="B11" s="3" t="s">
        <v>15</v>
      </c>
      <c r="C11" s="4">
        <v>993</v>
      </c>
      <c r="Q11" s="3" t="s">
        <v>10</v>
      </c>
      <c r="R11" s="4">
        <v>762</v>
      </c>
    </row>
    <row r="12" spans="2:18">
      <c r="B12" s="3" t="s">
        <v>18</v>
      </c>
      <c r="C12" s="4">
        <v>1766</v>
      </c>
      <c r="Q12" s="3" t="s">
        <v>15</v>
      </c>
      <c r="R12" s="4">
        <v>993</v>
      </c>
    </row>
    <row r="13" spans="2:18">
      <c r="B13" s="3" t="s">
        <v>45</v>
      </c>
      <c r="C13" s="4">
        <v>9347</v>
      </c>
      <c r="Q13" s="3" t="s">
        <v>18</v>
      </c>
      <c r="R13" s="4">
        <v>1766</v>
      </c>
    </row>
    <row r="14" spans="2:18">
      <c r="Q14" s="3" t="s">
        <v>45</v>
      </c>
      <c r="R14" s="4">
        <v>9347</v>
      </c>
    </row>
    <row r="17" spans="2:18">
      <c r="B17" s="2" t="s">
        <v>44</v>
      </c>
      <c r="C17" t="s">
        <v>47</v>
      </c>
    </row>
    <row r="18" spans="2:18">
      <c r="B18" s="3" t="s">
        <v>24</v>
      </c>
      <c r="C18" s="4">
        <v>277335.09000000003</v>
      </c>
      <c r="Q18" s="2" t="s">
        <v>44</v>
      </c>
      <c r="R18" t="s">
        <v>47</v>
      </c>
    </row>
    <row r="19" spans="2:18">
      <c r="B19" s="3" t="s">
        <v>19</v>
      </c>
      <c r="C19" s="4">
        <v>347988.43999999994</v>
      </c>
      <c r="Q19" s="3" t="s">
        <v>14</v>
      </c>
      <c r="R19" s="4">
        <v>523939.12</v>
      </c>
    </row>
    <row r="20" spans="2:18">
      <c r="B20" s="3" t="s">
        <v>11</v>
      </c>
      <c r="C20" s="4">
        <v>337677.36</v>
      </c>
      <c r="Q20" s="3" t="s">
        <v>37</v>
      </c>
      <c r="R20" s="4">
        <v>224814.8</v>
      </c>
    </row>
    <row r="21" spans="2:18">
      <c r="B21" s="3" t="s">
        <v>23</v>
      </c>
      <c r="C21" s="4">
        <v>329739.44999999995</v>
      </c>
      <c r="Q21" s="3" t="s">
        <v>9</v>
      </c>
      <c r="R21" s="4">
        <v>269218.94</v>
      </c>
    </row>
    <row r="22" spans="2:18">
      <c r="B22" s="3" t="s">
        <v>27</v>
      </c>
      <c r="C22" s="4">
        <v>162188.82999999999</v>
      </c>
      <c r="Q22" s="3" t="s">
        <v>35</v>
      </c>
      <c r="R22" s="4">
        <v>197037.91999999998</v>
      </c>
    </row>
    <row r="23" spans="2:18">
      <c r="B23" s="3" t="s">
        <v>28</v>
      </c>
      <c r="C23" s="4">
        <v>352178.06</v>
      </c>
      <c r="Q23" s="3" t="s">
        <v>17</v>
      </c>
      <c r="R23" s="4">
        <v>237268.53999999998</v>
      </c>
    </row>
    <row r="24" spans="2:18">
      <c r="B24" s="3" t="s">
        <v>16</v>
      </c>
      <c r="C24" s="4">
        <v>186899.03</v>
      </c>
      <c r="Q24" s="3" t="s">
        <v>25</v>
      </c>
      <c r="R24" s="4">
        <v>438315.39</v>
      </c>
    </row>
    <row r="25" spans="2:18">
      <c r="B25" s="3" t="s">
        <v>36</v>
      </c>
      <c r="C25" s="4">
        <v>314786.05</v>
      </c>
      <c r="Q25" s="3" t="s">
        <v>20</v>
      </c>
      <c r="R25" s="4">
        <v>163356.59</v>
      </c>
    </row>
    <row r="26" spans="2:18">
      <c r="B26" s="3" t="s">
        <v>33</v>
      </c>
      <c r="C26" s="4">
        <v>233050.93</v>
      </c>
      <c r="Q26" s="3" t="s">
        <v>31</v>
      </c>
      <c r="R26" s="4">
        <v>243717.09</v>
      </c>
    </row>
    <row r="27" spans="2:18">
      <c r="B27" s="3" t="s">
        <v>8</v>
      </c>
      <c r="C27" s="4">
        <v>175467.82</v>
      </c>
      <c r="Q27" s="3" t="s">
        <v>29</v>
      </c>
      <c r="R27" s="4">
        <v>163971.52000000002</v>
      </c>
    </row>
    <row r="28" spans="2:18">
      <c r="B28" s="3" t="s">
        <v>45</v>
      </c>
      <c r="C28" s="4">
        <v>2717311.06</v>
      </c>
      <c r="Q28" s="3" t="s">
        <v>12</v>
      </c>
      <c r="R28" s="4">
        <v>255671.15</v>
      </c>
    </row>
    <row r="29" spans="2:18">
      <c r="Q29" s="3" t="s">
        <v>45</v>
      </c>
      <c r="R29" s="4">
        <v>2717311.06</v>
      </c>
    </row>
    <row r="32" spans="2:18">
      <c r="B32" s="2" t="s">
        <v>44</v>
      </c>
      <c r="C32" t="s">
        <v>47</v>
      </c>
    </row>
    <row r="33" spans="2:18">
      <c r="B33" s="3" t="s">
        <v>142</v>
      </c>
      <c r="C33" s="4">
        <v>173971.54</v>
      </c>
      <c r="Q33" t="s">
        <v>155</v>
      </c>
      <c r="R33" t="s">
        <v>154</v>
      </c>
    </row>
    <row r="34" spans="2:18">
      <c r="B34" s="3" t="s">
        <v>143</v>
      </c>
      <c r="C34" s="4">
        <v>301722.71999999997</v>
      </c>
      <c r="Q34" s="4">
        <v>2671</v>
      </c>
      <c r="R34" s="4">
        <v>9347</v>
      </c>
    </row>
    <row r="35" spans="2:18">
      <c r="B35" s="3" t="s">
        <v>144</v>
      </c>
      <c r="C35" s="4">
        <v>199247.42</v>
      </c>
    </row>
    <row r="36" spans="2:18">
      <c r="B36" s="3" t="s">
        <v>145</v>
      </c>
      <c r="C36" s="4">
        <v>88995.93</v>
      </c>
    </row>
    <row r="37" spans="2:18">
      <c r="B37" s="3" t="s">
        <v>146</v>
      </c>
      <c r="C37" s="4">
        <v>222986.71999999997</v>
      </c>
    </row>
    <row r="38" spans="2:18">
      <c r="B38" s="3" t="s">
        <v>147</v>
      </c>
      <c r="C38" s="4">
        <v>165926.36000000002</v>
      </c>
    </row>
    <row r="39" spans="2:18">
      <c r="B39" s="3" t="s">
        <v>148</v>
      </c>
      <c r="C39" s="4">
        <v>211527.13</v>
      </c>
    </row>
    <row r="40" spans="2:18">
      <c r="B40" s="3" t="s">
        <v>149</v>
      </c>
      <c r="C40" s="4">
        <v>181039.55</v>
      </c>
    </row>
    <row r="41" spans="2:18">
      <c r="B41" s="3" t="s">
        <v>150</v>
      </c>
      <c r="C41" s="4">
        <v>341284.23</v>
      </c>
    </row>
    <row r="42" spans="2:18">
      <c r="B42" s="3" t="s">
        <v>151</v>
      </c>
      <c r="C42" s="4">
        <v>158450.68</v>
      </c>
    </row>
    <row r="43" spans="2:18">
      <c r="B43" s="3" t="s">
        <v>152</v>
      </c>
      <c r="C43" s="4">
        <v>334370.33</v>
      </c>
    </row>
    <row r="44" spans="2:18">
      <c r="B44" s="3" t="s">
        <v>153</v>
      </c>
      <c r="C44" s="4">
        <v>337788.45000000007</v>
      </c>
    </row>
    <row r="45" spans="2:18">
      <c r="B45" s="3" t="s">
        <v>45</v>
      </c>
      <c r="C45" s="4">
        <v>2717311.0600000005</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2B4C-66D9-4009-AA0C-D3FFF64AC98A}">
  <sheetPr filterMode="1"/>
  <dimension ref="A1:D206"/>
  <sheetViews>
    <sheetView workbookViewId="0"/>
  </sheetViews>
  <sheetFormatPr defaultColWidth="84.5546875" defaultRowHeight="14.4"/>
  <cols>
    <col min="1" max="1" width="57" style="7" customWidth="1"/>
    <col min="2" max="2" width="22.44140625" style="7" bestFit="1" customWidth="1"/>
    <col min="3" max="3" width="19.77734375" style="7" bestFit="1" customWidth="1"/>
    <col min="4" max="4" width="22.44140625" style="7" bestFit="1" customWidth="1"/>
    <col min="5" max="16384" width="84.5546875" style="7"/>
  </cols>
  <sheetData>
    <row r="1" spans="1:4">
      <c r="A1" s="7" t="s">
        <v>48</v>
      </c>
      <c r="C1" s="5" t="s">
        <v>64</v>
      </c>
      <c r="D1" s="5" t="s">
        <v>65</v>
      </c>
    </row>
    <row r="2" spans="1:4">
      <c r="A2" s="7" t="s">
        <v>49</v>
      </c>
      <c r="C2" s="6" t="s">
        <v>66</v>
      </c>
      <c r="D2" s="6" t="s">
        <v>67</v>
      </c>
    </row>
    <row r="3" spans="1:4">
      <c r="A3" s="9" t="s">
        <v>50</v>
      </c>
      <c r="C3" s="6" t="s">
        <v>68</v>
      </c>
      <c r="D3" s="6" t="s">
        <v>69</v>
      </c>
    </row>
    <row r="4" spans="1:4">
      <c r="A4" s="7" t="s">
        <v>51</v>
      </c>
      <c r="C4" s="6" t="s">
        <v>70</v>
      </c>
      <c r="D4" s="6" t="s">
        <v>71</v>
      </c>
    </row>
    <row r="5" spans="1:4">
      <c r="A5" s="7" t="s">
        <v>52</v>
      </c>
      <c r="C5" s="6" t="s">
        <v>72</v>
      </c>
      <c r="D5" s="6" t="s">
        <v>73</v>
      </c>
    </row>
    <row r="6" spans="1:4">
      <c r="A6" s="10" t="s">
        <v>53</v>
      </c>
      <c r="C6" s="6" t="s">
        <v>74</v>
      </c>
      <c r="D6" s="6" t="s">
        <v>75</v>
      </c>
    </row>
    <row r="7" spans="1:4">
      <c r="A7" s="10" t="s">
        <v>54</v>
      </c>
      <c r="C7" s="6" t="s">
        <v>76</v>
      </c>
      <c r="D7" s="6" t="s">
        <v>77</v>
      </c>
    </row>
    <row r="8" spans="1:4">
      <c r="A8" s="10" t="s">
        <v>55</v>
      </c>
    </row>
    <row r="9" spans="1:4">
      <c r="A9" s="10" t="s">
        <v>56</v>
      </c>
    </row>
    <row r="10" spans="1:4">
      <c r="A10" s="7" t="s">
        <v>57</v>
      </c>
    </row>
    <row r="11" spans="1:4">
      <c r="A11" s="8" t="s">
        <v>58</v>
      </c>
    </row>
    <row r="12" spans="1:4" hidden="1"/>
    <row r="13" spans="1:4">
      <c r="A13" s="8" t="s">
        <v>59</v>
      </c>
    </row>
    <row r="14" spans="1:4" hidden="1"/>
    <row r="15" spans="1:4">
      <c r="A15" s="7" t="s">
        <v>60</v>
      </c>
    </row>
    <row r="16" spans="1:4" hidden="1"/>
    <row r="17" spans="1:1">
      <c r="A17" s="8" t="s">
        <v>61</v>
      </c>
    </row>
    <row r="18" spans="1:1" hidden="1"/>
    <row r="19" spans="1:1">
      <c r="A19" s="7" t="s">
        <v>62</v>
      </c>
    </row>
    <row r="20" spans="1:1" hidden="1">
      <c r="A20" s="10"/>
    </row>
    <row r="21" spans="1:1">
      <c r="A21" s="10" t="s">
        <v>38</v>
      </c>
    </row>
    <row r="22" spans="1:1" hidden="1">
      <c r="A22" s="10"/>
    </row>
    <row r="23" spans="1:1">
      <c r="A23" s="10" t="s">
        <v>39</v>
      </c>
    </row>
    <row r="24" spans="1:1" hidden="1">
      <c r="A24" s="10"/>
    </row>
    <row r="25" spans="1:1">
      <c r="A25" s="10" t="s">
        <v>40</v>
      </c>
    </row>
    <row r="26" spans="1:1" hidden="1">
      <c r="A26" s="10"/>
    </row>
    <row r="27" spans="1:1">
      <c r="A27" s="10" t="s">
        <v>42</v>
      </c>
    </row>
    <row r="28" spans="1:1" hidden="1">
      <c r="A28" s="10"/>
    </row>
    <row r="29" spans="1:1">
      <c r="A29" s="10" t="s">
        <v>43</v>
      </c>
    </row>
    <row r="30" spans="1:1" hidden="1"/>
    <row r="31" spans="1:1">
      <c r="A31" s="7" t="s">
        <v>63</v>
      </c>
    </row>
    <row r="32" spans="1:1" hidden="1"/>
    <row r="33" spans="1:1" hidden="1"/>
    <row r="34" spans="1:1" hidden="1"/>
    <row r="35" spans="1:1" hidden="1"/>
    <row r="36" spans="1:1" hidden="1"/>
    <row r="37" spans="1:1" hidden="1"/>
    <row r="38" spans="1:1" hidden="1"/>
    <row r="39" spans="1:1" hidden="1"/>
    <row r="40" spans="1:1" hidden="1"/>
    <row r="41" spans="1:1" hidden="1"/>
    <row r="42" spans="1:1" hidden="1"/>
    <row r="43" spans="1:1" hidden="1"/>
    <row r="44" spans="1:1" hidden="1"/>
    <row r="45" spans="1:1" hidden="1"/>
    <row r="46" spans="1:1">
      <c r="A46" s="8" t="s">
        <v>78</v>
      </c>
    </row>
    <row r="47" spans="1:1" hidden="1"/>
    <row r="48" spans="1:1">
      <c r="A48" s="8" t="s">
        <v>79</v>
      </c>
    </row>
    <row r="49" spans="1:1" hidden="1"/>
    <row r="50" spans="1:1">
      <c r="A50" s="7" t="s">
        <v>80</v>
      </c>
    </row>
    <row r="51" spans="1:1" hidden="1"/>
    <row r="52" spans="1:1">
      <c r="A52" s="9" t="s">
        <v>2</v>
      </c>
    </row>
    <row r="53" spans="1:1" hidden="1"/>
    <row r="54" spans="1:1">
      <c r="A54" s="7" t="s">
        <v>81</v>
      </c>
    </row>
    <row r="55" spans="1:1" hidden="1"/>
    <row r="56" spans="1:1">
      <c r="A56" s="9" t="s">
        <v>46</v>
      </c>
    </row>
    <row r="57" spans="1:1" hidden="1"/>
    <row r="58" spans="1:1" hidden="1"/>
    <row r="59" spans="1:1" hidden="1"/>
    <row r="60" spans="1:1">
      <c r="A60" s="8" t="s">
        <v>82</v>
      </c>
    </row>
    <row r="61" spans="1:1" hidden="1"/>
    <row r="62" spans="1:1">
      <c r="A62" s="7" t="s">
        <v>80</v>
      </c>
    </row>
    <row r="63" spans="1:1" hidden="1"/>
    <row r="64" spans="1:1">
      <c r="A64" s="9" t="s">
        <v>1</v>
      </c>
    </row>
    <row r="65" spans="1:1" hidden="1"/>
    <row r="66" spans="1:1">
      <c r="A66" s="7" t="s">
        <v>81</v>
      </c>
    </row>
    <row r="67" spans="1:1" hidden="1"/>
    <row r="68" spans="1:1">
      <c r="A68" s="9" t="s">
        <v>83</v>
      </c>
    </row>
    <row r="69" spans="1:1" hidden="1"/>
    <row r="70" spans="1:1" hidden="1"/>
    <row r="71" spans="1:1" hidden="1"/>
    <row r="72" spans="1:1">
      <c r="A72" s="8" t="s">
        <v>84</v>
      </c>
    </row>
    <row r="73" spans="1:1" hidden="1"/>
    <row r="74" spans="1:1">
      <c r="A74" s="7" t="s">
        <v>80</v>
      </c>
    </row>
    <row r="75" spans="1:1" hidden="1"/>
    <row r="76" spans="1:1">
      <c r="A76" s="9" t="s">
        <v>85</v>
      </c>
    </row>
    <row r="77" spans="1:1" hidden="1"/>
    <row r="78" spans="1:1">
      <c r="A78" s="7" t="s">
        <v>81</v>
      </c>
    </row>
    <row r="79" spans="1:1" hidden="1"/>
    <row r="80" spans="1:1">
      <c r="A80" s="9" t="s">
        <v>83</v>
      </c>
    </row>
    <row r="81" spans="1:1" hidden="1"/>
    <row r="82" spans="1:1" hidden="1"/>
    <row r="83" spans="1:1" hidden="1"/>
    <row r="84" spans="1:1">
      <c r="A84" s="8" t="s">
        <v>86</v>
      </c>
    </row>
    <row r="85" spans="1:1" hidden="1"/>
    <row r="86" spans="1:1">
      <c r="A86" s="7" t="s">
        <v>87</v>
      </c>
    </row>
    <row r="87" spans="1:1" hidden="1">
      <c r="A87" s="10"/>
    </row>
    <row r="88" spans="1:1">
      <c r="A88" s="10" t="s">
        <v>88</v>
      </c>
    </row>
    <row r="89" spans="1:1" hidden="1">
      <c r="A89" s="10"/>
    </row>
    <row r="90" spans="1:1">
      <c r="A90" s="10" t="s">
        <v>89</v>
      </c>
    </row>
    <row r="91" spans="1:1" hidden="1">
      <c r="A91" s="10"/>
    </row>
    <row r="92" spans="1:1">
      <c r="A92" s="10" t="s">
        <v>90</v>
      </c>
    </row>
    <row r="93" spans="1:1" hidden="1">
      <c r="A93" s="10"/>
    </row>
    <row r="94" spans="1:1">
      <c r="A94" s="10" t="s">
        <v>91</v>
      </c>
    </row>
    <row r="95" spans="1:1" hidden="1">
      <c r="A95" s="10"/>
    </row>
    <row r="96" spans="1:1">
      <c r="A96" s="10" t="s">
        <v>92</v>
      </c>
    </row>
    <row r="97" spans="1:1" hidden="1">
      <c r="A97" s="10"/>
    </row>
    <row r="98" spans="1:1">
      <c r="A98" s="10" t="s">
        <v>93</v>
      </c>
    </row>
    <row r="99" spans="1:1" hidden="1"/>
    <row r="100" spans="1:1">
      <c r="A100" s="7" t="s">
        <v>94</v>
      </c>
    </row>
    <row r="101" spans="1:1" hidden="1"/>
    <row r="102" spans="1:1" hidden="1"/>
    <row r="103" spans="1:1" hidden="1"/>
    <row r="104" spans="1:1">
      <c r="A104" s="8" t="s">
        <v>95</v>
      </c>
    </row>
    <row r="105" spans="1:1" hidden="1"/>
    <row r="106" spans="1:1">
      <c r="A106" s="7" t="s">
        <v>96</v>
      </c>
    </row>
    <row r="107" spans="1:1" hidden="1">
      <c r="A107" s="10"/>
    </row>
    <row r="108" spans="1:1">
      <c r="A108" s="10" t="s">
        <v>2</v>
      </c>
    </row>
    <row r="109" spans="1:1" hidden="1">
      <c r="A109" s="10"/>
    </row>
    <row r="110" spans="1:1">
      <c r="A110" s="10" t="s">
        <v>1</v>
      </c>
    </row>
    <row r="111" spans="1:1" hidden="1">
      <c r="A111" s="10"/>
    </row>
    <row r="112" spans="1:1">
      <c r="A112" s="10" t="s">
        <v>0</v>
      </c>
    </row>
    <row r="113" spans="1:1" hidden="1"/>
    <row r="114" spans="1:1">
      <c r="A114" s="7" t="s">
        <v>97</v>
      </c>
    </row>
    <row r="115" spans="1:1" hidden="1"/>
    <row r="116" spans="1:1" hidden="1"/>
    <row r="117" spans="1:1" hidden="1"/>
    <row r="118" spans="1:1">
      <c r="A118" s="8" t="s">
        <v>98</v>
      </c>
    </row>
    <row r="119" spans="1:1" hidden="1"/>
    <row r="120" spans="1:1">
      <c r="A120" s="7" t="s">
        <v>99</v>
      </c>
    </row>
    <row r="121" spans="1:1" hidden="1">
      <c r="A121" s="10"/>
    </row>
    <row r="122" spans="1:1">
      <c r="A122" s="10" t="s">
        <v>100</v>
      </c>
    </row>
    <row r="123" spans="1:1" hidden="1">
      <c r="A123" s="10"/>
    </row>
    <row r="124" spans="1:1">
      <c r="A124" s="10" t="s">
        <v>101</v>
      </c>
    </row>
    <row r="125" spans="1:1" hidden="1">
      <c r="A125" s="10"/>
    </row>
    <row r="126" spans="1:1">
      <c r="A126" s="10" t="s">
        <v>102</v>
      </c>
    </row>
    <row r="127" spans="1:1" hidden="1">
      <c r="A127" s="10"/>
    </row>
    <row r="128" spans="1:1">
      <c r="A128" s="10" t="s">
        <v>103</v>
      </c>
    </row>
    <row r="129" spans="1:1" hidden="1">
      <c r="A129" s="10"/>
    </row>
    <row r="130" spans="1:1">
      <c r="A130" s="10" t="s">
        <v>104</v>
      </c>
    </row>
    <row r="131" spans="1:1" hidden="1"/>
    <row r="132" spans="1:1" hidden="1"/>
    <row r="133" spans="1:1" hidden="1"/>
    <row r="134" spans="1:1">
      <c r="A134" s="8" t="s">
        <v>105</v>
      </c>
    </row>
    <row r="135" spans="1:1" hidden="1"/>
    <row r="136" spans="1:1">
      <c r="A136" s="9" t="s">
        <v>50</v>
      </c>
    </row>
    <row r="137" spans="1:1">
      <c r="A137" s="9" t="s">
        <v>106</v>
      </c>
    </row>
    <row r="138" spans="1:1">
      <c r="A138" s="9" t="s">
        <v>107</v>
      </c>
    </row>
    <row r="139" spans="1:1">
      <c r="A139" s="9" t="s">
        <v>108</v>
      </c>
    </row>
    <row r="140" spans="1:1">
      <c r="A140" s="9" t="s">
        <v>106</v>
      </c>
    </row>
    <row r="141" spans="1:1">
      <c r="A141" s="9" t="s">
        <v>109</v>
      </c>
    </row>
    <row r="142" spans="1:1">
      <c r="A142" s="9" t="s">
        <v>110</v>
      </c>
    </row>
    <row r="143" spans="1:1">
      <c r="A143" s="9" t="s">
        <v>106</v>
      </c>
    </row>
    <row r="144" spans="1:1">
      <c r="A144" s="9" t="s">
        <v>111</v>
      </c>
    </row>
    <row r="145" spans="1:1">
      <c r="A145" s="9" t="s">
        <v>112</v>
      </c>
    </row>
    <row r="146" spans="1:1">
      <c r="A146" s="9" t="s">
        <v>113</v>
      </c>
    </row>
    <row r="147" spans="1:1">
      <c r="A147" s="9" t="s">
        <v>114</v>
      </c>
    </row>
    <row r="148" spans="1:1">
      <c r="A148" s="9" t="s">
        <v>106</v>
      </c>
    </row>
    <row r="149" spans="1:1">
      <c r="A149" s="9" t="s">
        <v>115</v>
      </c>
    </row>
    <row r="150" spans="1:1" hidden="1"/>
    <row r="151" spans="1:1" hidden="1"/>
    <row r="152" spans="1:1" hidden="1"/>
    <row r="153" spans="1:1">
      <c r="A153" s="8" t="s">
        <v>116</v>
      </c>
    </row>
    <row r="154" spans="1:1" hidden="1"/>
    <row r="155" spans="1:1">
      <c r="A155" s="9" t="s">
        <v>117</v>
      </c>
    </row>
    <row r="156" spans="1:1" hidden="1"/>
    <row r="157" spans="1:1" hidden="1"/>
    <row r="158" spans="1:1" hidden="1"/>
    <row r="159" spans="1:1">
      <c r="A159" s="8" t="s">
        <v>118</v>
      </c>
    </row>
    <row r="160" spans="1:1" hidden="1"/>
    <row r="161" spans="1:1">
      <c r="A161" s="7" t="s">
        <v>119</v>
      </c>
    </row>
    <row r="162" spans="1:1">
      <c r="A162" s="7" t="s">
        <v>120</v>
      </c>
    </row>
    <row r="163" spans="1:1" hidden="1"/>
    <row r="164" spans="1:1">
      <c r="A164" s="7" t="s">
        <v>121</v>
      </c>
    </row>
    <row r="165" spans="1:1" hidden="1">
      <c r="A165" s="10"/>
    </row>
    <row r="166" spans="1:1">
      <c r="A166" s="10" t="s">
        <v>122</v>
      </c>
    </row>
    <row r="167" spans="1:1" hidden="1">
      <c r="A167" s="10"/>
    </row>
    <row r="168" spans="1:1">
      <c r="A168" s="10" t="s">
        <v>123</v>
      </c>
    </row>
    <row r="169" spans="1:1" hidden="1">
      <c r="A169" s="10"/>
    </row>
    <row r="170" spans="1:1">
      <c r="A170" s="10" t="s">
        <v>124</v>
      </c>
    </row>
    <row r="171" spans="1:1" hidden="1">
      <c r="A171" s="10"/>
    </row>
    <row r="172" spans="1:1">
      <c r="A172" s="10" t="s">
        <v>125</v>
      </c>
    </row>
    <row r="173" spans="1:1" hidden="1"/>
    <row r="174" spans="1:1">
      <c r="A174" s="7" t="s">
        <v>126</v>
      </c>
    </row>
    <row r="175" spans="1:1" hidden="1"/>
    <row r="176" spans="1:1" hidden="1"/>
    <row r="177" spans="1:1" hidden="1"/>
    <row r="178" spans="1:1">
      <c r="A178" s="8" t="s">
        <v>127</v>
      </c>
    </row>
    <row r="179" spans="1:1" hidden="1">
      <c r="A179" s="10"/>
    </row>
    <row r="180" spans="1:1">
      <c r="A180" s="10" t="s">
        <v>128</v>
      </c>
    </row>
    <row r="181" spans="1:1" hidden="1">
      <c r="A181" s="10"/>
    </row>
    <row r="182" spans="1:1">
      <c r="A182" s="10" t="s">
        <v>129</v>
      </c>
    </row>
    <row r="183" spans="1:1" hidden="1">
      <c r="A183" s="10"/>
    </row>
    <row r="184" spans="1:1">
      <c r="A184" s="10" t="s">
        <v>130</v>
      </c>
    </row>
    <row r="185" spans="1:1" hidden="1">
      <c r="A185" s="10"/>
    </row>
    <row r="186" spans="1:1">
      <c r="A186" s="10" t="s">
        <v>131</v>
      </c>
    </row>
    <row r="187" spans="1:1" hidden="1">
      <c r="A187" s="10"/>
    </row>
    <row r="188" spans="1:1">
      <c r="A188" s="10" t="s">
        <v>132</v>
      </c>
    </row>
    <row r="189" spans="1:1" hidden="1">
      <c r="A189" s="10"/>
    </row>
    <row r="190" spans="1:1">
      <c r="A190" s="10" t="s">
        <v>133</v>
      </c>
    </row>
    <row r="191" spans="1:1" hidden="1">
      <c r="A191" s="10"/>
    </row>
    <row r="192" spans="1:1">
      <c r="A192" s="10" t="s">
        <v>134</v>
      </c>
    </row>
    <row r="193" spans="1:1" hidden="1"/>
    <row r="194" spans="1:1">
      <c r="A194" s="7" t="s">
        <v>135</v>
      </c>
    </row>
    <row r="195" spans="1:1" hidden="1">
      <c r="A195" s="10"/>
    </row>
    <row r="196" spans="1:1">
      <c r="A196" s="10" t="s">
        <v>136</v>
      </c>
    </row>
    <row r="197" spans="1:1" hidden="1">
      <c r="A197" s="10"/>
    </row>
    <row r="198" spans="1:1">
      <c r="A198" s="10" t="s">
        <v>137</v>
      </c>
    </row>
    <row r="199" spans="1:1" hidden="1">
      <c r="A199" s="10"/>
    </row>
    <row r="200" spans="1:1">
      <c r="A200" s="10" t="s">
        <v>138</v>
      </c>
    </row>
    <row r="201" spans="1:1" hidden="1">
      <c r="A201" s="10"/>
    </row>
    <row r="202" spans="1:1">
      <c r="A202" s="10" t="s">
        <v>139</v>
      </c>
    </row>
    <row r="203" spans="1:1" hidden="1">
      <c r="A203" s="10"/>
    </row>
    <row r="204" spans="1:1">
      <c r="A204" s="10" t="s">
        <v>140</v>
      </c>
    </row>
    <row r="205" spans="1:1" hidden="1">
      <c r="A205" s="10"/>
    </row>
    <row r="206" spans="1:1">
      <c r="A206" s="10" t="s">
        <v>141</v>
      </c>
    </row>
  </sheetData>
  <autoFilter ref="A1:B206" xr:uid="{8F3F2B4C-66D9-4009-AA0C-D3FFF64AC98A}">
    <filterColumn colId="0">
      <customFilters>
        <customFilter operator="notEqual" val=" "/>
      </custom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E6DED9-17CF-4855-9951-4A933F17AB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HospitalData</vt:lpstr>
      <vt:lpstr>Dashboard</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prathima kour</dc:creator>
  <cp:lastModifiedBy>prathima kour</cp:lastModifiedBy>
  <dcterms:created xsi:type="dcterms:W3CDTF">2026-05-18T15:12:07Z</dcterms:created>
  <dcterms:modified xsi:type="dcterms:W3CDTF">2026-05-19T11:24:31Z</dcterms:modified>
</cp:coreProperties>
</file>